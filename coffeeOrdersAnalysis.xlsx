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EE3D4FF1-8383-4073-B965-3C826D2F1114}" xr6:coauthVersionLast="47" xr6:coauthVersionMax="47" xr10:uidLastSave="{00000000-0000-0000-0000-000000000000}"/>
  <bookViews>
    <workbookView showSheetTabs="0" xWindow="-108" yWindow="-108" windowWidth="23256" windowHeight="13176" xr2:uid="{00000000-000D-0000-FFFF-FFFF00000000}"/>
  </bookViews>
  <sheets>
    <sheet name="Dashboard" sheetId="23" r:id="rId1"/>
    <sheet name="TotalSales" sheetId="18" r:id="rId2"/>
    <sheet name="Top5Customers" sheetId="22" r:id="rId3"/>
    <sheet name="CountryBarChart" sheetId="19" r:id="rId4"/>
    <sheet name="Detail1" sheetId="21"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921" i="17"/>
  <c r="O922" i="17"/>
  <c r="N88" i="17"/>
  <c r="N89" i="17"/>
  <c r="N90" i="17"/>
  <c r="N91" i="17"/>
  <c r="N92" i="17"/>
  <c r="N93" i="17"/>
  <c r="N94" i="17"/>
  <c r="N95" i="17"/>
  <c r="N922" i="17"/>
  <c r="M88" i="17"/>
  <c r="M89" i="17"/>
  <c r="M90" i="17"/>
  <c r="M91" i="17"/>
  <c r="M92" i="17"/>
  <c r="M93" i="17"/>
  <c r="M94" i="17"/>
  <c r="M921" i="17"/>
  <c r="M922" i="17"/>
  <c r="M923" i="17"/>
  <c r="I3" i="17"/>
  <c r="N3"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J88" i="17"/>
  <c r="O88" i="17" s="1"/>
  <c r="K88" i="17"/>
  <c r="L88" i="17"/>
  <c r="I89" i="17"/>
  <c r="J89" i="17"/>
  <c r="O89" i="17" s="1"/>
  <c r="K89" i="17"/>
  <c r="L89" i="17"/>
  <c r="I90" i="17"/>
  <c r="J90" i="17"/>
  <c r="O90" i="17" s="1"/>
  <c r="K90" i="17"/>
  <c r="L90" i="17"/>
  <c r="I91" i="17"/>
  <c r="J91" i="17"/>
  <c r="O91" i="17" s="1"/>
  <c r="K91" i="17"/>
  <c r="L91" i="17"/>
  <c r="I92" i="17"/>
  <c r="J92" i="17"/>
  <c r="O92" i="17" s="1"/>
  <c r="K92" i="17"/>
  <c r="L92" i="17"/>
  <c r="I93" i="17"/>
  <c r="J93" i="17"/>
  <c r="O93" i="17" s="1"/>
  <c r="K93" i="17"/>
  <c r="L93" i="17"/>
  <c r="I94" i="17"/>
  <c r="J94" i="17"/>
  <c r="O94" i="17" s="1"/>
  <c r="K94" i="17"/>
  <c r="L94" i="17"/>
  <c r="I95" i="17"/>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K921" i="17"/>
  <c r="L921" i="17"/>
  <c r="I922" i="17"/>
  <c r="J922" i="17"/>
  <c r="K922" i="17"/>
  <c r="L922" i="17"/>
  <c r="I923" i="17"/>
  <c r="N923" i="17" s="1"/>
  <c r="J923" i="17"/>
  <c r="O923" i="17" s="1"/>
  <c r="K923" i="17"/>
  <c r="L923" i="17"/>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3" i="17"/>
  <c r="O3" i="17" s="1"/>
  <c r="K3" i="17"/>
  <c r="L3" i="17"/>
  <c r="M3" i="17" s="1"/>
  <c r="J4" i="17"/>
  <c r="O4" i="17" s="1"/>
  <c r="K4" i="17"/>
  <c r="L4" i="17"/>
  <c r="M4" i="17" s="1"/>
  <c r="I4" i="17"/>
  <c r="N4" i="17" s="1"/>
  <c r="I2" i="17"/>
  <c r="N2" i="17" s="1"/>
  <c r="L2" i="17"/>
  <c r="M2" i="17" s="1"/>
  <c r="K2" i="17"/>
  <c r="J2" i="17"/>
  <c r="O2" i="17" s="1"/>
  <c r="F2" i="17"/>
  <c r="G2" i="17"/>
  <c r="H2" i="17"/>
  <c r="F3" i="17"/>
  <c r="G3" i="17"/>
  <c r="H3" i="17"/>
  <c r="F4" i="17"/>
  <c r="G4" i="17"/>
  <c r="H4" i="17"/>
  <c r="F5" i="17"/>
  <c r="G5" i="17"/>
  <c r="H5" i="17"/>
  <c r="F6" i="17"/>
  <c r="G6" i="17"/>
  <c r="H6" i="17"/>
  <c r="F7" i="17"/>
  <c r="G7" i="17"/>
  <c r="H7" i="17"/>
  <c r="F8" i="17"/>
  <c r="G8" i="17"/>
  <c r="H8" i="17"/>
  <c r="F9" i="17"/>
  <c r="G9" i="17"/>
  <c r="H9" i="17"/>
  <c r="F10" i="17"/>
  <c r="G10" i="17"/>
  <c r="H10" i="17"/>
  <c r="F11" i="17"/>
  <c r="G11" i="17"/>
  <c r="H11" i="17"/>
  <c r="F12" i="17"/>
  <c r="G12" i="17"/>
  <c r="H12" i="17"/>
  <c r="F13" i="17"/>
  <c r="G13" i="17"/>
  <c r="H13" i="17"/>
  <c r="F14" i="17"/>
  <c r="G14" i="17"/>
  <c r="H14" i="17"/>
  <c r="F15" i="17"/>
  <c r="G15" i="17"/>
  <c r="H15" i="17"/>
  <c r="F16" i="17"/>
  <c r="G16" i="17"/>
  <c r="H16" i="17"/>
  <c r="F17" i="17"/>
  <c r="G17" i="17"/>
  <c r="H17" i="17"/>
  <c r="F18" i="17"/>
  <c r="G18" i="17"/>
  <c r="H18" i="17"/>
  <c r="F19" i="17"/>
  <c r="G19" i="17"/>
  <c r="H19" i="17"/>
  <c r="F20" i="17"/>
  <c r="G20" i="17"/>
  <c r="H20" i="17"/>
  <c r="F21" i="17"/>
  <c r="G21" i="17"/>
  <c r="H21" i="17"/>
  <c r="F22" i="17"/>
  <c r="G22" i="17"/>
  <c r="H22" i="17"/>
  <c r="F23" i="17"/>
  <c r="G23" i="17"/>
  <c r="H23" i="17"/>
  <c r="F24" i="17"/>
  <c r="G24" i="17"/>
  <c r="H24" i="17"/>
  <c r="F25" i="17"/>
  <c r="G25" i="17"/>
  <c r="H25" i="17"/>
  <c r="F26" i="17"/>
  <c r="G26" i="17"/>
  <c r="H26" i="17"/>
  <c r="F27" i="17"/>
  <c r="G27" i="17"/>
  <c r="H27" i="17"/>
  <c r="F28" i="17"/>
  <c r="G28" i="17"/>
  <c r="H28" i="17"/>
  <c r="F29" i="17"/>
  <c r="G29" i="17"/>
  <c r="H29" i="17"/>
  <c r="F30" i="17"/>
  <c r="G30" i="17"/>
  <c r="H30" i="17"/>
  <c r="F31" i="17"/>
  <c r="G31" i="17"/>
  <c r="H31" i="17"/>
  <c r="F32" i="17"/>
  <c r="G32" i="17"/>
  <c r="H32" i="17"/>
  <c r="F33" i="17"/>
  <c r="G33" i="17"/>
  <c r="H33" i="17"/>
  <c r="F34" i="17"/>
  <c r="G34" i="17"/>
  <c r="H34" i="17"/>
  <c r="F35" i="17"/>
  <c r="G35" i="17"/>
  <c r="H35" i="17"/>
  <c r="F36" i="17"/>
  <c r="G36" i="17"/>
  <c r="H36" i="17"/>
  <c r="F37" i="17"/>
  <c r="G37" i="17"/>
  <c r="H37" i="17"/>
  <c r="F38" i="17"/>
  <c r="G38" i="17"/>
  <c r="H38" i="17"/>
  <c r="F39" i="17"/>
  <c r="G39" i="17"/>
  <c r="H39" i="17"/>
  <c r="F40" i="17"/>
  <c r="G40" i="17"/>
  <c r="H40" i="17"/>
  <c r="F41" i="17"/>
  <c r="G41" i="17"/>
  <c r="H41" i="17"/>
  <c r="F42" i="17"/>
  <c r="G42" i="17"/>
  <c r="H42" i="17"/>
  <c r="F43" i="17"/>
  <c r="G43" i="17"/>
  <c r="H43" i="17"/>
  <c r="F44" i="17"/>
  <c r="G44" i="17"/>
  <c r="H44" i="17"/>
  <c r="F45" i="17"/>
  <c r="G45" i="17"/>
  <c r="H45" i="17"/>
  <c r="F46" i="17"/>
  <c r="G46" i="17"/>
  <c r="H46" i="17"/>
  <c r="F47" i="17"/>
  <c r="G47" i="17"/>
  <c r="H47" i="17"/>
  <c r="F48" i="17"/>
  <c r="G48" i="17"/>
  <c r="H48" i="17"/>
  <c r="F49" i="17"/>
  <c r="G49" i="17"/>
  <c r="H49" i="17"/>
  <c r="F50" i="17"/>
  <c r="G50" i="17"/>
  <c r="H50" i="17"/>
  <c r="F51" i="17"/>
  <c r="G51" i="17"/>
  <c r="H51" i="17"/>
  <c r="F52" i="17"/>
  <c r="G52" i="17"/>
  <c r="H52" i="17"/>
  <c r="F53" i="17"/>
  <c r="G53" i="17"/>
  <c r="H53" i="17"/>
  <c r="F54" i="17"/>
  <c r="G54" i="17"/>
  <c r="H54" i="17"/>
  <c r="F55" i="17"/>
  <c r="G55" i="17"/>
  <c r="H55" i="17"/>
  <c r="F56" i="17"/>
  <c r="G56" i="17"/>
  <c r="H56" i="17"/>
  <c r="F57" i="17"/>
  <c r="G57" i="17"/>
  <c r="H57" i="17"/>
  <c r="F58" i="17"/>
  <c r="G58" i="17"/>
  <c r="H58" i="17"/>
  <c r="F59" i="17"/>
  <c r="G59" i="17"/>
  <c r="H59" i="17"/>
  <c r="F60" i="17"/>
  <c r="G60" i="17"/>
  <c r="H60" i="17"/>
  <c r="F61" i="17"/>
  <c r="G61" i="17"/>
  <c r="H61" i="17"/>
  <c r="F62" i="17"/>
  <c r="G62" i="17"/>
  <c r="H62" i="17"/>
  <c r="F63" i="17"/>
  <c r="G63" i="17"/>
  <c r="H63" i="17"/>
  <c r="F64" i="17"/>
  <c r="G64" i="17"/>
  <c r="H64" i="17"/>
  <c r="F65" i="17"/>
  <c r="G65" i="17"/>
  <c r="H65" i="17"/>
  <c r="F66" i="17"/>
  <c r="G66" i="17"/>
  <c r="H66" i="17"/>
  <c r="F67" i="17"/>
  <c r="G67" i="17"/>
  <c r="H67" i="17"/>
  <c r="F68" i="17"/>
  <c r="G68" i="17"/>
  <c r="H68" i="17"/>
  <c r="F69" i="17"/>
  <c r="G69" i="17"/>
  <c r="H69" i="17"/>
  <c r="F70" i="17"/>
  <c r="G70" i="17"/>
  <c r="H70" i="17"/>
  <c r="F71" i="17"/>
  <c r="G71" i="17"/>
  <c r="H71" i="17"/>
  <c r="F72" i="17"/>
  <c r="G72" i="17"/>
  <c r="H72" i="17"/>
  <c r="F73" i="17"/>
  <c r="G73" i="17"/>
  <c r="H73" i="17"/>
  <c r="F74" i="17"/>
  <c r="G74" i="17"/>
  <c r="H74" i="17"/>
  <c r="F75" i="17"/>
  <c r="G75" i="17"/>
  <c r="H75" i="17"/>
  <c r="F76" i="17"/>
  <c r="G76" i="17"/>
  <c r="H76" i="17"/>
  <c r="F77" i="17"/>
  <c r="G77" i="17"/>
  <c r="H77" i="17"/>
  <c r="F78" i="17"/>
  <c r="G78" i="17"/>
  <c r="H78" i="17"/>
  <c r="F79" i="17"/>
  <c r="G79" i="17"/>
  <c r="H79" i="17"/>
  <c r="F80" i="17"/>
  <c r="G80" i="17"/>
  <c r="H80" i="17"/>
  <c r="F81" i="17"/>
  <c r="G81" i="17"/>
  <c r="H81" i="17"/>
  <c r="F82" i="17"/>
  <c r="G82" i="17"/>
  <c r="H82" i="17"/>
  <c r="F83" i="17"/>
  <c r="G83" i="17"/>
  <c r="H83" i="17"/>
  <c r="F84" i="17"/>
  <c r="G84" i="17"/>
  <c r="H84" i="17"/>
  <c r="F85" i="17"/>
  <c r="G85" i="17"/>
  <c r="H85" i="17"/>
  <c r="F86" i="17"/>
  <c r="G86" i="17"/>
  <c r="H86" i="17"/>
  <c r="F87" i="17"/>
  <c r="G87" i="17"/>
  <c r="H87" i="17"/>
  <c r="F88" i="17"/>
  <c r="G88" i="17"/>
  <c r="H88" i="17"/>
  <c r="F89" i="17"/>
  <c r="G89" i="17"/>
  <c r="H89" i="17"/>
  <c r="F90" i="17"/>
  <c r="G90" i="17"/>
  <c r="H90" i="17"/>
  <c r="F91" i="17"/>
  <c r="G91" i="17"/>
  <c r="H91" i="17"/>
  <c r="F92" i="17"/>
  <c r="G92" i="17"/>
  <c r="H92" i="17"/>
  <c r="F93" i="17"/>
  <c r="G93" i="17"/>
  <c r="H93" i="17"/>
  <c r="F94" i="17"/>
  <c r="G94" i="17"/>
  <c r="H94" i="17"/>
  <c r="F95" i="17"/>
  <c r="G95" i="17"/>
  <c r="H95" i="17"/>
  <c r="F96" i="17"/>
  <c r="G96" i="17"/>
  <c r="H96" i="17"/>
  <c r="F97" i="17"/>
  <c r="G97" i="17"/>
  <c r="H97" i="17"/>
  <c r="F98" i="17"/>
  <c r="G98" i="17"/>
  <c r="H98" i="17"/>
  <c r="F99" i="17"/>
  <c r="G99" i="17"/>
  <c r="H99" i="17"/>
  <c r="F100" i="17"/>
  <c r="G100" i="17"/>
  <c r="H100" i="17"/>
  <c r="F101" i="17"/>
  <c r="G101" i="17"/>
  <c r="H101" i="17"/>
  <c r="F102" i="17"/>
  <c r="G102" i="17"/>
  <c r="H102" i="17"/>
  <c r="F103" i="17"/>
  <c r="G103" i="17"/>
  <c r="H103" i="17"/>
  <c r="F104" i="17"/>
  <c r="G104" i="17"/>
  <c r="H104" i="17"/>
  <c r="F105" i="17"/>
  <c r="G105" i="17"/>
  <c r="H105" i="17"/>
  <c r="F106" i="17"/>
  <c r="G106" i="17"/>
  <c r="H106" i="17"/>
  <c r="F107" i="17"/>
  <c r="G107" i="17"/>
  <c r="H107" i="17"/>
  <c r="F108" i="17"/>
  <c r="G108" i="17"/>
  <c r="H108" i="17"/>
  <c r="F109" i="17"/>
  <c r="G109" i="17"/>
  <c r="H109" i="17"/>
  <c r="F110" i="17"/>
  <c r="G110" i="17"/>
  <c r="H110" i="17"/>
  <c r="F111" i="17"/>
  <c r="G111" i="17"/>
  <c r="H111" i="17"/>
  <c r="F112" i="17"/>
  <c r="G112" i="17"/>
  <c r="H112" i="17"/>
  <c r="F113" i="17"/>
  <c r="G113" i="17"/>
  <c r="H113" i="17"/>
  <c r="F114" i="17"/>
  <c r="G114" i="17"/>
  <c r="H114" i="17"/>
  <c r="F115" i="17"/>
  <c r="G115" i="17"/>
  <c r="H115" i="17"/>
  <c r="F116" i="17"/>
  <c r="G116" i="17"/>
  <c r="H116" i="17"/>
  <c r="F117" i="17"/>
  <c r="G117" i="17"/>
  <c r="H117" i="17"/>
  <c r="F118" i="17"/>
  <c r="G118" i="17"/>
  <c r="H118" i="17"/>
  <c r="F119" i="17"/>
  <c r="G119" i="17"/>
  <c r="H119" i="17"/>
  <c r="F120" i="17"/>
  <c r="G120" i="17"/>
  <c r="H120" i="17"/>
  <c r="F121" i="17"/>
  <c r="G121" i="17"/>
  <c r="H121" i="17"/>
  <c r="F122" i="17"/>
  <c r="G122" i="17"/>
  <c r="H122" i="17"/>
  <c r="F123" i="17"/>
  <c r="G123" i="17"/>
  <c r="H123" i="17"/>
  <c r="F124" i="17"/>
  <c r="G124" i="17"/>
  <c r="H124" i="17"/>
  <c r="F125" i="17"/>
  <c r="G125" i="17"/>
  <c r="H125" i="17"/>
  <c r="F126" i="17"/>
  <c r="G126" i="17"/>
  <c r="H126" i="17"/>
  <c r="F127" i="17"/>
  <c r="G127" i="17"/>
  <c r="H127" i="17"/>
  <c r="F128" i="17"/>
  <c r="G128" i="17"/>
  <c r="H128" i="17"/>
  <c r="F129" i="17"/>
  <c r="G129" i="17"/>
  <c r="H129" i="17"/>
  <c r="F130" i="17"/>
  <c r="G130" i="17"/>
  <c r="H130" i="17"/>
  <c r="F131" i="17"/>
  <c r="G131" i="17"/>
  <c r="H131" i="17"/>
  <c r="F132" i="17"/>
  <c r="G132" i="17"/>
  <c r="H132" i="17"/>
  <c r="F133" i="17"/>
  <c r="G133" i="17"/>
  <c r="H133" i="17"/>
  <c r="F134" i="17"/>
  <c r="G134" i="17"/>
  <c r="H134" i="17"/>
  <c r="F135" i="17"/>
  <c r="G135" i="17"/>
  <c r="H135" i="17"/>
  <c r="F136" i="17"/>
  <c r="G136" i="17"/>
  <c r="H136" i="17"/>
  <c r="F137" i="17"/>
  <c r="G137" i="17"/>
  <c r="H137" i="17"/>
  <c r="F138" i="17"/>
  <c r="G138" i="17"/>
  <c r="H138" i="17"/>
  <c r="F139" i="17"/>
  <c r="G139" i="17"/>
  <c r="H139" i="17"/>
  <c r="F140" i="17"/>
  <c r="G140" i="17"/>
  <c r="H140" i="17"/>
  <c r="F141" i="17"/>
  <c r="G141" i="17"/>
  <c r="H141" i="17"/>
  <c r="F142" i="17"/>
  <c r="G142" i="17"/>
  <c r="H142" i="17"/>
  <c r="F143" i="17"/>
  <c r="G143" i="17"/>
  <c r="H143" i="17"/>
  <c r="F144" i="17"/>
  <c r="G144" i="17"/>
  <c r="H144" i="17"/>
  <c r="F145" i="17"/>
  <c r="G145" i="17"/>
  <c r="H145" i="17"/>
  <c r="F146" i="17"/>
  <c r="G146" i="17"/>
  <c r="H146" i="17"/>
  <c r="F147" i="17"/>
  <c r="G147" i="17"/>
  <c r="H147" i="17"/>
  <c r="F148" i="17"/>
  <c r="G148" i="17"/>
  <c r="H148" i="17"/>
  <c r="F149" i="17"/>
  <c r="G149" i="17"/>
  <c r="H149" i="17"/>
  <c r="F150" i="17"/>
  <c r="G150" i="17"/>
  <c r="H150" i="17"/>
  <c r="F151" i="17"/>
  <c r="G151" i="17"/>
  <c r="H151" i="17"/>
  <c r="F152" i="17"/>
  <c r="G152" i="17"/>
  <c r="H152" i="17"/>
  <c r="F153" i="17"/>
  <c r="G153" i="17"/>
  <c r="H153" i="17"/>
  <c r="F154" i="17"/>
  <c r="G154" i="17"/>
  <c r="H154" i="17"/>
  <c r="F155" i="17"/>
  <c r="G155" i="17"/>
  <c r="H155" i="17"/>
  <c r="F156" i="17"/>
  <c r="G156" i="17"/>
  <c r="H156" i="17"/>
  <c r="F157" i="17"/>
  <c r="G157" i="17"/>
  <c r="H157" i="17"/>
  <c r="F158" i="17"/>
  <c r="G158" i="17"/>
  <c r="H158" i="17"/>
  <c r="F159" i="17"/>
  <c r="G159" i="17"/>
  <c r="H159" i="17"/>
  <c r="F160" i="17"/>
  <c r="G160" i="17"/>
  <c r="H160" i="17"/>
  <c r="F161" i="17"/>
  <c r="G161" i="17"/>
  <c r="H161" i="17"/>
  <c r="F162" i="17"/>
  <c r="G162" i="17"/>
  <c r="H162" i="17"/>
  <c r="F163" i="17"/>
  <c r="G163" i="17"/>
  <c r="H163" i="17"/>
  <c r="F164" i="17"/>
  <c r="G164" i="17"/>
  <c r="H164" i="17"/>
  <c r="F165" i="17"/>
  <c r="G165" i="17"/>
  <c r="H165" i="17"/>
  <c r="F166" i="17"/>
  <c r="G166" i="17"/>
  <c r="H166" i="17"/>
  <c r="F167" i="17"/>
  <c r="G167" i="17"/>
  <c r="H167" i="17"/>
  <c r="F168" i="17"/>
  <c r="G168" i="17"/>
  <c r="H168" i="17"/>
  <c r="F169" i="17"/>
  <c r="G169" i="17"/>
  <c r="H169" i="17"/>
  <c r="F170" i="17"/>
  <c r="G170" i="17"/>
  <c r="H170" i="17"/>
  <c r="F171" i="17"/>
  <c r="G171" i="17"/>
  <c r="H171" i="17"/>
  <c r="F172" i="17"/>
  <c r="G172" i="17"/>
  <c r="H172" i="17"/>
  <c r="F173" i="17"/>
  <c r="G173" i="17"/>
  <c r="H173" i="17"/>
  <c r="F174" i="17"/>
  <c r="G174" i="17"/>
  <c r="H174" i="17"/>
  <c r="F175" i="17"/>
  <c r="G175" i="17"/>
  <c r="H175" i="17"/>
  <c r="F176" i="17"/>
  <c r="G176" i="17"/>
  <c r="H176" i="17"/>
  <c r="F177" i="17"/>
  <c r="G177" i="17"/>
  <c r="H177" i="17"/>
  <c r="F178" i="17"/>
  <c r="G178" i="17"/>
  <c r="H178" i="17"/>
  <c r="F179" i="17"/>
  <c r="G179" i="17"/>
  <c r="H179" i="17"/>
  <c r="F180" i="17"/>
  <c r="G180" i="17"/>
  <c r="H180" i="17"/>
  <c r="F181" i="17"/>
  <c r="G181" i="17"/>
  <c r="H181" i="17"/>
  <c r="F182" i="17"/>
  <c r="G182" i="17"/>
  <c r="H182" i="17"/>
  <c r="F183" i="17"/>
  <c r="G183" i="17"/>
  <c r="H183" i="17"/>
  <c r="F184" i="17"/>
  <c r="G184" i="17"/>
  <c r="H184" i="17"/>
  <c r="F185" i="17"/>
  <c r="G185" i="17"/>
  <c r="H185" i="17"/>
  <c r="F186" i="17"/>
  <c r="G186" i="17"/>
  <c r="H186" i="17"/>
  <c r="F187" i="17"/>
  <c r="G187" i="17"/>
  <c r="H187" i="17"/>
  <c r="F188" i="17"/>
  <c r="G188" i="17"/>
  <c r="H188" i="17"/>
  <c r="F189" i="17"/>
  <c r="G189" i="17"/>
  <c r="H189" i="17"/>
  <c r="F190" i="17"/>
  <c r="G190" i="17"/>
  <c r="H190" i="17"/>
  <c r="F191" i="17"/>
  <c r="G191" i="17"/>
  <c r="H191" i="17"/>
  <c r="F192" i="17"/>
  <c r="G192" i="17"/>
  <c r="H192" i="17"/>
  <c r="F193" i="17"/>
  <c r="G193" i="17"/>
  <c r="H193" i="17"/>
  <c r="F194" i="17"/>
  <c r="G194" i="17"/>
  <c r="H194" i="17"/>
  <c r="F195" i="17"/>
  <c r="G195" i="17"/>
  <c r="H195" i="17"/>
  <c r="F196" i="17"/>
  <c r="G196" i="17"/>
  <c r="H196" i="17"/>
  <c r="F197" i="17"/>
  <c r="G197" i="17"/>
  <c r="H197" i="17"/>
  <c r="F198" i="17"/>
  <c r="G198" i="17"/>
  <c r="H198" i="17"/>
  <c r="F199" i="17"/>
  <c r="G199" i="17"/>
  <c r="H199" i="17"/>
  <c r="F200" i="17"/>
  <c r="G200" i="17"/>
  <c r="H200" i="17"/>
  <c r="F201" i="17"/>
  <c r="G201" i="17"/>
  <c r="H201" i="17"/>
  <c r="F202" i="17"/>
  <c r="G202" i="17"/>
  <c r="H202" i="17"/>
  <c r="F203" i="17"/>
  <c r="G203" i="17"/>
  <c r="H203" i="17"/>
  <c r="F204" i="17"/>
  <c r="G204" i="17"/>
  <c r="H204" i="17"/>
  <c r="F205" i="17"/>
  <c r="G205" i="17"/>
  <c r="H205" i="17"/>
  <c r="F206" i="17"/>
  <c r="G206" i="17"/>
  <c r="H206" i="17"/>
  <c r="F207" i="17"/>
  <c r="G207" i="17"/>
  <c r="H207" i="17"/>
  <c r="F208" i="17"/>
  <c r="G208" i="17"/>
  <c r="H208" i="17"/>
  <c r="F209" i="17"/>
  <c r="G209" i="17"/>
  <c r="H209" i="17"/>
  <c r="F210" i="17"/>
  <c r="G210" i="17"/>
  <c r="H210" i="17"/>
  <c r="F211" i="17"/>
  <c r="G211" i="17"/>
  <c r="H211" i="17"/>
  <c r="F212" i="17"/>
  <c r="G212" i="17"/>
  <c r="H212" i="17"/>
  <c r="F213" i="17"/>
  <c r="G213" i="17"/>
  <c r="H213" i="17"/>
  <c r="F214" i="17"/>
  <c r="G214" i="17"/>
  <c r="H214" i="17"/>
  <c r="F215" i="17"/>
  <c r="G215" i="17"/>
  <c r="H215" i="17"/>
  <c r="F216" i="17"/>
  <c r="G216" i="17"/>
  <c r="H216" i="17"/>
  <c r="F217" i="17"/>
  <c r="G217" i="17"/>
  <c r="H217" i="17"/>
  <c r="F218" i="17"/>
  <c r="G218" i="17"/>
  <c r="H218" i="17"/>
  <c r="F219" i="17"/>
  <c r="G219" i="17"/>
  <c r="H219" i="17"/>
  <c r="F220" i="17"/>
  <c r="G220" i="17"/>
  <c r="H220" i="17"/>
  <c r="F221" i="17"/>
  <c r="G221" i="17"/>
  <c r="H221" i="17"/>
  <c r="F222" i="17"/>
  <c r="G222" i="17"/>
  <c r="H222" i="17"/>
  <c r="F223" i="17"/>
  <c r="G223" i="17"/>
  <c r="H223" i="17"/>
  <c r="F224" i="17"/>
  <c r="G224" i="17"/>
  <c r="H224" i="17"/>
  <c r="F225" i="17"/>
  <c r="G225" i="17"/>
  <c r="H225" i="17"/>
  <c r="F226" i="17"/>
  <c r="G226" i="17"/>
  <c r="H226" i="17"/>
  <c r="F227" i="17"/>
  <c r="G227" i="17"/>
  <c r="H227" i="17"/>
  <c r="F228" i="17"/>
  <c r="G228" i="17"/>
  <c r="H228" i="17"/>
  <c r="F229" i="17"/>
  <c r="G229" i="17"/>
  <c r="H229" i="17"/>
  <c r="F230" i="17"/>
  <c r="G230" i="17"/>
  <c r="H230" i="17"/>
  <c r="F231" i="17"/>
  <c r="G231" i="17"/>
  <c r="H231" i="17"/>
  <c r="F232" i="17"/>
  <c r="G232" i="17"/>
  <c r="H232" i="17"/>
  <c r="F233" i="17"/>
  <c r="G233" i="17"/>
  <c r="H233" i="17"/>
  <c r="F234" i="17"/>
  <c r="G234" i="17"/>
  <c r="H234" i="17"/>
  <c r="F235" i="17"/>
  <c r="G235" i="17"/>
  <c r="H235" i="17"/>
  <c r="F236" i="17"/>
  <c r="G236" i="17"/>
  <c r="H236" i="17"/>
  <c r="F237" i="17"/>
  <c r="G237" i="17"/>
  <c r="H237" i="17"/>
  <c r="F238" i="17"/>
  <c r="G238" i="17"/>
  <c r="H238" i="17"/>
  <c r="F239" i="17"/>
  <c r="G239" i="17"/>
  <c r="H239" i="17"/>
  <c r="F240" i="17"/>
  <c r="G240" i="17"/>
  <c r="H240" i="17"/>
  <c r="F241" i="17"/>
  <c r="G241" i="17"/>
  <c r="H241" i="17"/>
  <c r="F242" i="17"/>
  <c r="G242" i="17"/>
  <c r="H242" i="17"/>
  <c r="F243" i="17"/>
  <c r="G243" i="17"/>
  <c r="H243" i="17"/>
  <c r="F244" i="17"/>
  <c r="G244" i="17"/>
  <c r="H244" i="17"/>
  <c r="F245" i="17"/>
  <c r="G245" i="17"/>
  <c r="H245" i="17"/>
  <c r="F246" i="17"/>
  <c r="G246" i="17"/>
  <c r="H246" i="17"/>
  <c r="F247" i="17"/>
  <c r="G247" i="17"/>
  <c r="H247" i="17"/>
  <c r="F248" i="17"/>
  <c r="G248" i="17"/>
  <c r="H248" i="17"/>
  <c r="F249" i="17"/>
  <c r="G249" i="17"/>
  <c r="H249" i="17"/>
  <c r="F250" i="17"/>
  <c r="G250" i="17"/>
  <c r="H250" i="17"/>
  <c r="F251" i="17"/>
  <c r="G251" i="17"/>
  <c r="H251" i="17"/>
  <c r="F252" i="17"/>
  <c r="G252" i="17"/>
  <c r="H252" i="17"/>
  <c r="F253" i="17"/>
  <c r="G253" i="17"/>
  <c r="H253" i="17"/>
  <c r="F254" i="17"/>
  <c r="G254" i="17"/>
  <c r="H254" i="17"/>
  <c r="F255" i="17"/>
  <c r="G255" i="17"/>
  <c r="H255" i="17"/>
  <c r="F256" i="17"/>
  <c r="G256" i="17"/>
  <c r="H256" i="17"/>
  <c r="F257" i="17"/>
  <c r="G257" i="17"/>
  <c r="H257" i="17"/>
  <c r="F258" i="17"/>
  <c r="G258" i="17"/>
  <c r="H258" i="17"/>
  <c r="F259" i="17"/>
  <c r="G259" i="17"/>
  <c r="H259" i="17"/>
  <c r="F260" i="17"/>
  <c r="G260" i="17"/>
  <c r="H260" i="17"/>
  <c r="F261" i="17"/>
  <c r="G261" i="17"/>
  <c r="H261" i="17"/>
  <c r="F262" i="17"/>
  <c r="G262" i="17"/>
  <c r="H262" i="17"/>
  <c r="F263" i="17"/>
  <c r="G263" i="17"/>
  <c r="H263" i="17"/>
  <c r="F264" i="17"/>
  <c r="G264" i="17"/>
  <c r="H264" i="17"/>
  <c r="F265" i="17"/>
  <c r="G265" i="17"/>
  <c r="H265" i="17"/>
  <c r="F266" i="17"/>
  <c r="G266" i="17"/>
  <c r="H266" i="17"/>
  <c r="F267" i="17"/>
  <c r="G267" i="17"/>
  <c r="H267" i="17"/>
  <c r="F268" i="17"/>
  <c r="G268" i="17"/>
  <c r="H268" i="17"/>
  <c r="F269" i="17"/>
  <c r="G269" i="17"/>
  <c r="H269" i="17"/>
  <c r="F270" i="17"/>
  <c r="G270" i="17"/>
  <c r="H270" i="17"/>
  <c r="F271" i="17"/>
  <c r="G271" i="17"/>
  <c r="H271" i="17"/>
  <c r="F272" i="17"/>
  <c r="G272" i="17"/>
  <c r="H272" i="17"/>
  <c r="F273" i="17"/>
  <c r="G273" i="17"/>
  <c r="H273" i="17"/>
  <c r="F274" i="17"/>
  <c r="G274" i="17"/>
  <c r="H274" i="17"/>
  <c r="F275" i="17"/>
  <c r="G275" i="17"/>
  <c r="H275" i="17"/>
  <c r="F276" i="17"/>
  <c r="G276" i="17"/>
  <c r="H276" i="17"/>
  <c r="F277" i="17"/>
  <c r="G277" i="17"/>
  <c r="H277" i="17"/>
  <c r="F278" i="17"/>
  <c r="G278" i="17"/>
  <c r="H278" i="17"/>
  <c r="F279" i="17"/>
  <c r="G279" i="17"/>
  <c r="H279" i="17"/>
  <c r="F280" i="17"/>
  <c r="G280" i="17"/>
  <c r="H280" i="17"/>
  <c r="F281" i="17"/>
  <c r="G281" i="17"/>
  <c r="H281" i="17"/>
  <c r="F282" i="17"/>
  <c r="G282" i="17"/>
  <c r="H282" i="17"/>
  <c r="F283" i="17"/>
  <c r="G283" i="17"/>
  <c r="H283" i="17"/>
  <c r="F284" i="17"/>
  <c r="G284" i="17"/>
  <c r="H284" i="17"/>
  <c r="F285" i="17"/>
  <c r="G285" i="17"/>
  <c r="H285" i="17"/>
  <c r="F286" i="17"/>
  <c r="G286" i="17"/>
  <c r="H286" i="17"/>
  <c r="F287" i="17"/>
  <c r="G287" i="17"/>
  <c r="H287" i="17"/>
  <c r="F288" i="17"/>
  <c r="G288" i="17"/>
  <c r="H288" i="17"/>
  <c r="F289" i="17"/>
  <c r="G289" i="17"/>
  <c r="H289" i="17"/>
  <c r="F290" i="17"/>
  <c r="G290" i="17"/>
  <c r="H290" i="17"/>
  <c r="F291" i="17"/>
  <c r="G291" i="17"/>
  <c r="H291" i="17"/>
  <c r="F292" i="17"/>
  <c r="G292" i="17"/>
  <c r="H292" i="17"/>
  <c r="F293" i="17"/>
  <c r="G293" i="17"/>
  <c r="H293" i="17"/>
  <c r="F294" i="17"/>
  <c r="G294" i="17"/>
  <c r="H294" i="17"/>
  <c r="F295" i="17"/>
  <c r="G295" i="17"/>
  <c r="H295" i="17"/>
  <c r="F296" i="17"/>
  <c r="G296" i="17"/>
  <c r="H296" i="17"/>
  <c r="F297" i="17"/>
  <c r="G297" i="17"/>
  <c r="H297" i="17"/>
  <c r="F298" i="17"/>
  <c r="G298" i="17"/>
  <c r="H298" i="17"/>
  <c r="F299" i="17"/>
  <c r="G299" i="17"/>
  <c r="H299" i="17"/>
  <c r="F300" i="17"/>
  <c r="G300" i="17"/>
  <c r="H300" i="17"/>
  <c r="F301" i="17"/>
  <c r="G301" i="17"/>
  <c r="H301" i="17"/>
  <c r="F302" i="17"/>
  <c r="G302" i="17"/>
  <c r="H302" i="17"/>
  <c r="F303" i="17"/>
  <c r="G303" i="17"/>
  <c r="H303" i="17"/>
  <c r="F304" i="17"/>
  <c r="G304" i="17"/>
  <c r="H304" i="17"/>
  <c r="F305" i="17"/>
  <c r="G305" i="17"/>
  <c r="H305" i="17"/>
  <c r="F306" i="17"/>
  <c r="G306" i="17"/>
  <c r="H306" i="17"/>
  <c r="F307" i="17"/>
  <c r="G307" i="17"/>
  <c r="H307" i="17"/>
  <c r="F308" i="17"/>
  <c r="G308" i="17"/>
  <c r="H308" i="17"/>
  <c r="F309" i="17"/>
  <c r="G309" i="17"/>
  <c r="H309" i="17"/>
  <c r="F310" i="17"/>
  <c r="G310" i="17"/>
  <c r="H310" i="17"/>
  <c r="F311" i="17"/>
  <c r="G311" i="17"/>
  <c r="H311" i="17"/>
  <c r="F312" i="17"/>
  <c r="G312" i="17"/>
  <c r="H312" i="17"/>
  <c r="F313" i="17"/>
  <c r="G313" i="17"/>
  <c r="H313" i="17"/>
  <c r="F314" i="17"/>
  <c r="G314" i="17"/>
  <c r="H314" i="17"/>
  <c r="F315" i="17"/>
  <c r="G315" i="17"/>
  <c r="H315" i="17"/>
  <c r="F316" i="17"/>
  <c r="G316" i="17"/>
  <c r="H316" i="17"/>
  <c r="F317" i="17"/>
  <c r="G317" i="17"/>
  <c r="H317" i="17"/>
  <c r="F318" i="17"/>
  <c r="G318" i="17"/>
  <c r="H318" i="17"/>
  <c r="F319" i="17"/>
  <c r="G319" i="17"/>
  <c r="H319" i="17"/>
  <c r="F320" i="17"/>
  <c r="G320" i="17"/>
  <c r="H320" i="17"/>
  <c r="F321" i="17"/>
  <c r="G321" i="17"/>
  <c r="H321" i="17"/>
  <c r="F322" i="17"/>
  <c r="G322" i="17"/>
  <c r="H322" i="17"/>
  <c r="F323" i="17"/>
  <c r="G323" i="17"/>
  <c r="H323" i="17"/>
  <c r="F324" i="17"/>
  <c r="G324" i="17"/>
  <c r="H324" i="17"/>
  <c r="F325" i="17"/>
  <c r="G325" i="17"/>
  <c r="H325" i="17"/>
  <c r="F326" i="17"/>
  <c r="G326" i="17"/>
  <c r="H326" i="17"/>
  <c r="F327" i="17"/>
  <c r="G327" i="17"/>
  <c r="H327" i="17"/>
  <c r="F328" i="17"/>
  <c r="G328" i="17"/>
  <c r="H328" i="17"/>
  <c r="F329" i="17"/>
  <c r="G329" i="17"/>
  <c r="H329" i="17"/>
  <c r="F330" i="17"/>
  <c r="G330" i="17"/>
  <c r="H330" i="17"/>
  <c r="F331" i="17"/>
  <c r="G331" i="17"/>
  <c r="H331" i="17"/>
  <c r="F332" i="17"/>
  <c r="G332" i="17"/>
  <c r="H332" i="17"/>
  <c r="F333" i="17"/>
  <c r="G333" i="17"/>
  <c r="H333" i="17"/>
  <c r="F334" i="17"/>
  <c r="G334" i="17"/>
  <c r="H334" i="17"/>
  <c r="F335" i="17"/>
  <c r="G335" i="17"/>
  <c r="H335" i="17"/>
  <c r="F336" i="17"/>
  <c r="G336" i="17"/>
  <c r="H336" i="17"/>
  <c r="F337" i="17"/>
  <c r="G337" i="17"/>
  <c r="H337" i="17"/>
  <c r="F338" i="17"/>
  <c r="G338" i="17"/>
  <c r="H338" i="17"/>
  <c r="F339" i="17"/>
  <c r="G339" i="17"/>
  <c r="H339" i="17"/>
  <c r="F340" i="17"/>
  <c r="G340" i="17"/>
  <c r="H340" i="17"/>
  <c r="F341" i="17"/>
  <c r="G341" i="17"/>
  <c r="H341" i="17"/>
  <c r="F342" i="17"/>
  <c r="G342" i="17"/>
  <c r="H342" i="17"/>
  <c r="F343" i="17"/>
  <c r="G343" i="17"/>
  <c r="H343" i="17"/>
  <c r="F344" i="17"/>
  <c r="G344" i="17"/>
  <c r="H344" i="17"/>
  <c r="F345" i="17"/>
  <c r="G345" i="17"/>
  <c r="H345" i="17"/>
  <c r="F346" i="17"/>
  <c r="G346" i="17"/>
  <c r="H346" i="17"/>
  <c r="F347" i="17"/>
  <c r="G347" i="17"/>
  <c r="H347" i="17"/>
  <c r="F348" i="17"/>
  <c r="G348" i="17"/>
  <c r="H348" i="17"/>
  <c r="F349" i="17"/>
  <c r="G349" i="17"/>
  <c r="H349" i="17"/>
  <c r="F350" i="17"/>
  <c r="G350" i="17"/>
  <c r="H350" i="17"/>
  <c r="F351" i="17"/>
  <c r="G351" i="17"/>
  <c r="H351" i="17"/>
  <c r="F352" i="17"/>
  <c r="G352" i="17"/>
  <c r="H352" i="17"/>
  <c r="F353" i="17"/>
  <c r="G353" i="17"/>
  <c r="H353" i="17"/>
  <c r="F354" i="17"/>
  <c r="G354" i="17"/>
  <c r="H354" i="17"/>
  <c r="F355" i="17"/>
  <c r="G355" i="17"/>
  <c r="H355" i="17"/>
  <c r="F356" i="17"/>
  <c r="G356" i="17"/>
  <c r="H356" i="17"/>
  <c r="F357" i="17"/>
  <c r="G357" i="17"/>
  <c r="H357" i="17"/>
  <c r="F358" i="17"/>
  <c r="G358" i="17"/>
  <c r="H358" i="17"/>
  <c r="F359" i="17"/>
  <c r="G359" i="17"/>
  <c r="H359" i="17"/>
  <c r="F360" i="17"/>
  <c r="G360" i="17"/>
  <c r="H360" i="17"/>
  <c r="F361" i="17"/>
  <c r="G361" i="17"/>
  <c r="H361" i="17"/>
  <c r="F362" i="17"/>
  <c r="G362" i="17"/>
  <c r="H362" i="17"/>
  <c r="F363" i="17"/>
  <c r="G363" i="17"/>
  <c r="H363" i="17"/>
  <c r="F364" i="17"/>
  <c r="G364" i="17"/>
  <c r="H364" i="17"/>
  <c r="F365" i="17"/>
  <c r="G365" i="17"/>
  <c r="H365" i="17"/>
  <c r="F366" i="17"/>
  <c r="G366" i="17"/>
  <c r="H366" i="17"/>
  <c r="F367" i="17"/>
  <c r="G367" i="17"/>
  <c r="H367" i="17"/>
  <c r="F368" i="17"/>
  <c r="G368" i="17"/>
  <c r="H368" i="17"/>
  <c r="F369" i="17"/>
  <c r="G369" i="17"/>
  <c r="H369" i="17"/>
  <c r="F370" i="17"/>
  <c r="G370" i="17"/>
  <c r="H370" i="17"/>
  <c r="F371" i="17"/>
  <c r="G371" i="17"/>
  <c r="H371" i="17"/>
  <c r="F372" i="17"/>
  <c r="G372" i="17"/>
  <c r="H372" i="17"/>
  <c r="F373" i="17"/>
  <c r="G373" i="17"/>
  <c r="H373" i="17"/>
  <c r="F374" i="17"/>
  <c r="G374" i="17"/>
  <c r="H374" i="17"/>
  <c r="F375" i="17"/>
  <c r="G375" i="17"/>
  <c r="H375" i="17"/>
  <c r="F376" i="17"/>
  <c r="G376" i="17"/>
  <c r="H376" i="17"/>
  <c r="F377" i="17"/>
  <c r="G377" i="17"/>
  <c r="H377" i="17"/>
  <c r="F378" i="17"/>
  <c r="G378" i="17"/>
  <c r="H378" i="17"/>
  <c r="F379" i="17"/>
  <c r="G379" i="17"/>
  <c r="H379" i="17"/>
  <c r="F380" i="17"/>
  <c r="G380" i="17"/>
  <c r="H380" i="17"/>
  <c r="F381" i="17"/>
  <c r="G381" i="17"/>
  <c r="H381" i="17"/>
  <c r="F382" i="17"/>
  <c r="G382" i="17"/>
  <c r="H382" i="17"/>
  <c r="F383" i="17"/>
  <c r="G383" i="17"/>
  <c r="H383" i="17"/>
  <c r="F384" i="17"/>
  <c r="G384" i="17"/>
  <c r="H384" i="17"/>
  <c r="F385" i="17"/>
  <c r="G385" i="17"/>
  <c r="H385" i="17"/>
  <c r="F386" i="17"/>
  <c r="G386" i="17"/>
  <c r="H386" i="17"/>
  <c r="F387" i="17"/>
  <c r="G387" i="17"/>
  <c r="H387" i="17"/>
  <c r="F388" i="17"/>
  <c r="G388" i="17"/>
  <c r="H388" i="17"/>
  <c r="F389" i="17"/>
  <c r="G389" i="17"/>
  <c r="H389" i="17"/>
  <c r="F390" i="17"/>
  <c r="G390" i="17"/>
  <c r="H390" i="17"/>
  <c r="F391" i="17"/>
  <c r="G391" i="17"/>
  <c r="H391" i="17"/>
  <c r="F392" i="17"/>
  <c r="G392" i="17"/>
  <c r="H392" i="17"/>
  <c r="F393" i="17"/>
  <c r="G393" i="17"/>
  <c r="H393" i="17"/>
  <c r="F394" i="17"/>
  <c r="G394" i="17"/>
  <c r="H394" i="17"/>
  <c r="F395" i="17"/>
  <c r="G395" i="17"/>
  <c r="H395" i="17"/>
  <c r="F396" i="17"/>
  <c r="G396" i="17"/>
  <c r="H396" i="17"/>
  <c r="F397" i="17"/>
  <c r="G397" i="17"/>
  <c r="H397" i="17"/>
  <c r="F398" i="17"/>
  <c r="G398" i="17"/>
  <c r="H398" i="17"/>
  <c r="F399" i="17"/>
  <c r="G399" i="17"/>
  <c r="H399" i="17"/>
  <c r="F400" i="17"/>
  <c r="G400" i="17"/>
  <c r="H400" i="17"/>
  <c r="F401" i="17"/>
  <c r="G401" i="17"/>
  <c r="H401" i="17"/>
  <c r="F402" i="17"/>
  <c r="G402" i="17"/>
  <c r="H402" i="17"/>
  <c r="F403" i="17"/>
  <c r="G403" i="17"/>
  <c r="H403" i="17"/>
  <c r="F404" i="17"/>
  <c r="G404" i="17"/>
  <c r="H404" i="17"/>
  <c r="F405" i="17"/>
  <c r="G405" i="17"/>
  <c r="H405" i="17"/>
  <c r="F406" i="17"/>
  <c r="G406" i="17"/>
  <c r="H406" i="17"/>
  <c r="F407" i="17"/>
  <c r="G407" i="17"/>
  <c r="H407" i="17"/>
  <c r="F408" i="17"/>
  <c r="G408" i="17"/>
  <c r="H408" i="17"/>
  <c r="F409" i="17"/>
  <c r="G409" i="17"/>
  <c r="H409" i="17"/>
  <c r="F410" i="17"/>
  <c r="G410" i="17"/>
  <c r="H410" i="17"/>
  <c r="F411" i="17"/>
  <c r="G411" i="17"/>
  <c r="H411" i="17"/>
  <c r="F412" i="17"/>
  <c r="G412" i="17"/>
  <c r="H412" i="17"/>
  <c r="F413" i="17"/>
  <c r="G413" i="17"/>
  <c r="H413" i="17"/>
  <c r="F414" i="17"/>
  <c r="G414" i="17"/>
  <c r="H414" i="17"/>
  <c r="F415" i="17"/>
  <c r="G415" i="17"/>
  <c r="H415" i="17"/>
  <c r="F416" i="17"/>
  <c r="G416" i="17"/>
  <c r="H416" i="17"/>
  <c r="F417" i="17"/>
  <c r="G417" i="17"/>
  <c r="H417" i="17"/>
  <c r="F418" i="17"/>
  <c r="G418" i="17"/>
  <c r="H418" i="17"/>
  <c r="F419" i="17"/>
  <c r="G419" i="17"/>
  <c r="H419" i="17"/>
  <c r="F420" i="17"/>
  <c r="G420" i="17"/>
  <c r="H420" i="17"/>
  <c r="F421" i="17"/>
  <c r="G421" i="17"/>
  <c r="H421" i="17"/>
  <c r="F422" i="17"/>
  <c r="G422" i="17"/>
  <c r="H422" i="17"/>
  <c r="F423" i="17"/>
  <c r="G423" i="17"/>
  <c r="H423" i="17"/>
  <c r="F424" i="17"/>
  <c r="G424" i="17"/>
  <c r="H424" i="17"/>
  <c r="F425" i="17"/>
  <c r="G425" i="17"/>
  <c r="H425" i="17"/>
  <c r="F426" i="17"/>
  <c r="G426" i="17"/>
  <c r="H426" i="17"/>
  <c r="F427" i="17"/>
  <c r="G427" i="17"/>
  <c r="H427" i="17"/>
  <c r="F428" i="17"/>
  <c r="G428" i="17"/>
  <c r="H428" i="17"/>
  <c r="F429" i="17"/>
  <c r="G429" i="17"/>
  <c r="H429" i="17"/>
  <c r="F430" i="17"/>
  <c r="G430" i="17"/>
  <c r="H430" i="17"/>
  <c r="F431" i="17"/>
  <c r="G431" i="17"/>
  <c r="H431" i="17"/>
  <c r="F432" i="17"/>
  <c r="G432" i="17"/>
  <c r="H432" i="17"/>
  <c r="F433" i="17"/>
  <c r="G433" i="17"/>
  <c r="H433" i="17"/>
  <c r="F434" i="17"/>
  <c r="G434" i="17"/>
  <c r="H434" i="17"/>
  <c r="F435" i="17"/>
  <c r="G435" i="17"/>
  <c r="H435" i="17"/>
  <c r="F436" i="17"/>
  <c r="G436" i="17"/>
  <c r="H436" i="17"/>
  <c r="F437" i="17"/>
  <c r="G437" i="17"/>
  <c r="H437" i="17"/>
  <c r="F438" i="17"/>
  <c r="G438" i="17"/>
  <c r="H438" i="17"/>
  <c r="F439" i="17"/>
  <c r="G439" i="17"/>
  <c r="H439" i="17"/>
  <c r="F440" i="17"/>
  <c r="G440" i="17"/>
  <c r="H440" i="17"/>
  <c r="F441" i="17"/>
  <c r="G441" i="17"/>
  <c r="H441" i="17"/>
  <c r="F442" i="17"/>
  <c r="G442" i="17"/>
  <c r="H442" i="17"/>
  <c r="F443" i="17"/>
  <c r="G443" i="17"/>
  <c r="H443" i="17"/>
  <c r="F444" i="17"/>
  <c r="G444" i="17"/>
  <c r="H444" i="17"/>
  <c r="F445" i="17"/>
  <c r="G445" i="17"/>
  <c r="H445" i="17"/>
  <c r="F446" i="17"/>
  <c r="G446" i="17"/>
  <c r="H446" i="17"/>
  <c r="F447" i="17"/>
  <c r="G447" i="17"/>
  <c r="H447" i="17"/>
  <c r="F448" i="17"/>
  <c r="G448" i="17"/>
  <c r="H448" i="17"/>
  <c r="F449" i="17"/>
  <c r="G449" i="17"/>
  <c r="H449" i="17"/>
  <c r="F450" i="17"/>
  <c r="G450" i="17"/>
  <c r="H450" i="17"/>
  <c r="F451" i="17"/>
  <c r="G451" i="17"/>
  <c r="H451" i="17"/>
  <c r="F452" i="17"/>
  <c r="G452" i="17"/>
  <c r="H452" i="17"/>
  <c r="F453" i="17"/>
  <c r="G453" i="17"/>
  <c r="H453" i="17"/>
  <c r="F454" i="17"/>
  <c r="G454" i="17"/>
  <c r="H454" i="17"/>
  <c r="F455" i="17"/>
  <c r="G455" i="17"/>
  <c r="H455" i="17"/>
  <c r="F456" i="17"/>
  <c r="G456" i="17"/>
  <c r="H456" i="17"/>
  <c r="F457" i="17"/>
  <c r="G457" i="17"/>
  <c r="H457" i="17"/>
  <c r="F458" i="17"/>
  <c r="G458" i="17"/>
  <c r="H458" i="17"/>
  <c r="F459" i="17"/>
  <c r="G459" i="17"/>
  <c r="H459" i="17"/>
  <c r="F460" i="17"/>
  <c r="G460" i="17"/>
  <c r="H460" i="17"/>
  <c r="F461" i="17"/>
  <c r="G461" i="17"/>
  <c r="H461" i="17"/>
  <c r="F462" i="17"/>
  <c r="G462" i="17"/>
  <c r="H462" i="17"/>
  <c r="F463" i="17"/>
  <c r="G463" i="17"/>
  <c r="H463" i="17"/>
  <c r="F464" i="17"/>
  <c r="G464" i="17"/>
  <c r="H464" i="17"/>
  <c r="F465" i="17"/>
  <c r="G465" i="17"/>
  <c r="H465" i="17"/>
  <c r="F466" i="17"/>
  <c r="G466" i="17"/>
  <c r="H466" i="17"/>
  <c r="F467" i="17"/>
  <c r="G467" i="17"/>
  <c r="H467" i="17"/>
  <c r="F468" i="17"/>
  <c r="G468" i="17"/>
  <c r="H468" i="17"/>
  <c r="F469" i="17"/>
  <c r="G469" i="17"/>
  <c r="H469" i="17"/>
  <c r="F470" i="17"/>
  <c r="G470" i="17"/>
  <c r="H470" i="17"/>
  <c r="F471" i="17"/>
  <c r="G471" i="17"/>
  <c r="H471" i="17"/>
  <c r="F472" i="17"/>
  <c r="G472" i="17"/>
  <c r="H472" i="17"/>
  <c r="F473" i="17"/>
  <c r="G473" i="17"/>
  <c r="H473" i="17"/>
  <c r="F474" i="17"/>
  <c r="G474" i="17"/>
  <c r="H474" i="17"/>
  <c r="F475" i="17"/>
  <c r="G475" i="17"/>
  <c r="H475" i="17"/>
  <c r="F476" i="17"/>
  <c r="G476" i="17"/>
  <c r="H476" i="17"/>
  <c r="F477" i="17"/>
  <c r="G477" i="17"/>
  <c r="H477" i="17"/>
  <c r="F478" i="17"/>
  <c r="G478" i="17"/>
  <c r="H478" i="17"/>
  <c r="F479" i="17"/>
  <c r="G479" i="17"/>
  <c r="H479" i="17"/>
  <c r="F480" i="17"/>
  <c r="G480" i="17"/>
  <c r="H480" i="17"/>
  <c r="F481" i="17"/>
  <c r="G481" i="17"/>
  <c r="H481" i="17"/>
  <c r="F482" i="17"/>
  <c r="G482" i="17"/>
  <c r="H482" i="17"/>
  <c r="F483" i="17"/>
  <c r="G483" i="17"/>
  <c r="H483" i="17"/>
  <c r="F484" i="17"/>
  <c r="G484" i="17"/>
  <c r="H484" i="17"/>
  <c r="F485" i="17"/>
  <c r="G485" i="17"/>
  <c r="H485" i="17"/>
  <c r="F486" i="17"/>
  <c r="G486" i="17"/>
  <c r="H486" i="17"/>
  <c r="F487" i="17"/>
  <c r="G487" i="17"/>
  <c r="H487" i="17"/>
  <c r="F488" i="17"/>
  <c r="G488" i="17"/>
  <c r="H488" i="17"/>
  <c r="F489" i="17"/>
  <c r="G489" i="17"/>
  <c r="H489" i="17"/>
  <c r="F490" i="17"/>
  <c r="G490" i="17"/>
  <c r="H490" i="17"/>
  <c r="F491" i="17"/>
  <c r="G491" i="17"/>
  <c r="H491" i="17"/>
  <c r="F492" i="17"/>
  <c r="G492" i="17"/>
  <c r="H492" i="17"/>
  <c r="F493" i="17"/>
  <c r="G493" i="17"/>
  <c r="H493" i="17"/>
  <c r="F494" i="17"/>
  <c r="G494" i="17"/>
  <c r="H494" i="17"/>
  <c r="F495" i="17"/>
  <c r="G495" i="17"/>
  <c r="H495" i="17"/>
  <c r="F496" i="17"/>
  <c r="G496" i="17"/>
  <c r="H496" i="17"/>
  <c r="F497" i="17"/>
  <c r="G497" i="17"/>
  <c r="H497" i="17"/>
  <c r="F498" i="17"/>
  <c r="G498" i="17"/>
  <c r="H498" i="17"/>
  <c r="F499" i="17"/>
  <c r="G499" i="17"/>
  <c r="H499" i="17"/>
  <c r="F500" i="17"/>
  <c r="G500" i="17"/>
  <c r="H500" i="17"/>
  <c r="F501" i="17"/>
  <c r="G501" i="17"/>
  <c r="H501" i="17"/>
  <c r="F502" i="17"/>
  <c r="G502" i="17"/>
  <c r="H502" i="17"/>
  <c r="F503" i="17"/>
  <c r="G503" i="17"/>
  <c r="H503" i="17"/>
  <c r="F504" i="17"/>
  <c r="G504" i="17"/>
  <c r="H504" i="17"/>
  <c r="F505" i="17"/>
  <c r="G505" i="17"/>
  <c r="H505" i="17"/>
  <c r="F506" i="17"/>
  <c r="G506" i="17"/>
  <c r="H506" i="17"/>
  <c r="F507" i="17"/>
  <c r="G507" i="17"/>
  <c r="H507" i="17"/>
  <c r="F508" i="17"/>
  <c r="G508" i="17"/>
  <c r="H508" i="17"/>
  <c r="F509" i="17"/>
  <c r="G509" i="17"/>
  <c r="H509" i="17"/>
  <c r="F510" i="17"/>
  <c r="G510" i="17"/>
  <c r="H510" i="17"/>
  <c r="F511" i="17"/>
  <c r="G511" i="17"/>
  <c r="H511" i="17"/>
  <c r="F512" i="17"/>
  <c r="G512" i="17"/>
  <c r="H512" i="17"/>
  <c r="F513" i="17"/>
  <c r="G513" i="17"/>
  <c r="H513" i="17"/>
  <c r="F514" i="17"/>
  <c r="G514" i="17"/>
  <c r="H514" i="17"/>
  <c r="F515" i="17"/>
  <c r="G515" i="17"/>
  <c r="H515" i="17"/>
  <c r="F516" i="17"/>
  <c r="G516" i="17"/>
  <c r="H516" i="17"/>
  <c r="F517" i="17"/>
  <c r="G517" i="17"/>
  <c r="H517" i="17"/>
  <c r="F518" i="17"/>
  <c r="G518" i="17"/>
  <c r="H518" i="17"/>
  <c r="F519" i="17"/>
  <c r="G519" i="17"/>
  <c r="H519" i="17"/>
  <c r="F520" i="17"/>
  <c r="G520" i="17"/>
  <c r="H520" i="17"/>
  <c r="F521" i="17"/>
  <c r="G521" i="17"/>
  <c r="H521" i="17"/>
  <c r="F522" i="17"/>
  <c r="G522" i="17"/>
  <c r="H522" i="17"/>
  <c r="F523" i="17"/>
  <c r="G523" i="17"/>
  <c r="H523" i="17"/>
  <c r="F524" i="17"/>
  <c r="G524" i="17"/>
  <c r="H524" i="17"/>
  <c r="F525" i="17"/>
  <c r="G525" i="17"/>
  <c r="H525" i="17"/>
  <c r="F526" i="17"/>
  <c r="G526" i="17"/>
  <c r="H526" i="17"/>
  <c r="F527" i="17"/>
  <c r="G527" i="17"/>
  <c r="H527" i="17"/>
  <c r="F528" i="17"/>
  <c r="G528" i="17"/>
  <c r="H528" i="17"/>
  <c r="F529" i="17"/>
  <c r="G529" i="17"/>
  <c r="H529" i="17"/>
  <c r="F530" i="17"/>
  <c r="G530" i="17"/>
  <c r="H530" i="17"/>
  <c r="F531" i="17"/>
  <c r="G531" i="17"/>
  <c r="H531" i="17"/>
  <c r="F532" i="17"/>
  <c r="G532" i="17"/>
  <c r="H532" i="17"/>
  <c r="F533" i="17"/>
  <c r="G533" i="17"/>
  <c r="H533" i="17"/>
  <c r="F534" i="17"/>
  <c r="G534" i="17"/>
  <c r="H534" i="17"/>
  <c r="F535" i="17"/>
  <c r="G535" i="17"/>
  <c r="H535" i="17"/>
  <c r="F536" i="17"/>
  <c r="G536" i="17"/>
  <c r="H536" i="17"/>
  <c r="F537" i="17"/>
  <c r="G537" i="17"/>
  <c r="H537" i="17"/>
  <c r="F538" i="17"/>
  <c r="G538" i="17"/>
  <c r="H538" i="17"/>
  <c r="F539" i="17"/>
  <c r="G539" i="17"/>
  <c r="H539" i="17"/>
  <c r="F540" i="17"/>
  <c r="G540" i="17"/>
  <c r="H540" i="17"/>
  <c r="F541" i="17"/>
  <c r="G541" i="17"/>
  <c r="H541" i="17"/>
  <c r="F542" i="17"/>
  <c r="G542" i="17"/>
  <c r="H542" i="17"/>
  <c r="F543" i="17"/>
  <c r="G543" i="17"/>
  <c r="H543" i="17"/>
  <c r="F544" i="17"/>
  <c r="G544" i="17"/>
  <c r="H544" i="17"/>
  <c r="F545" i="17"/>
  <c r="G545" i="17"/>
  <c r="H545" i="17"/>
  <c r="F546" i="17"/>
  <c r="G546" i="17"/>
  <c r="H546" i="17"/>
  <c r="F547" i="17"/>
  <c r="G547" i="17"/>
  <c r="H547" i="17"/>
  <c r="F548" i="17"/>
  <c r="G548" i="17"/>
  <c r="H548" i="17"/>
  <c r="F549" i="17"/>
  <c r="G549" i="17"/>
  <c r="H549" i="17"/>
  <c r="F550" i="17"/>
  <c r="G550" i="17"/>
  <c r="H550" i="17"/>
  <c r="F551" i="17"/>
  <c r="G551" i="17"/>
  <c r="H551" i="17"/>
  <c r="F552" i="17"/>
  <c r="G552" i="17"/>
  <c r="H552" i="17"/>
  <c r="F553" i="17"/>
  <c r="G553" i="17"/>
  <c r="H553" i="17"/>
  <c r="F554" i="17"/>
  <c r="G554" i="17"/>
  <c r="H554" i="17"/>
  <c r="F555" i="17"/>
  <c r="G555" i="17"/>
  <c r="H555" i="17"/>
  <c r="F556" i="17"/>
  <c r="G556" i="17"/>
  <c r="H556" i="17"/>
  <c r="F557" i="17"/>
  <c r="G557" i="17"/>
  <c r="H557" i="17"/>
  <c r="F558" i="17"/>
  <c r="G558" i="17"/>
  <c r="H558" i="17"/>
  <c r="F559" i="17"/>
  <c r="G559" i="17"/>
  <c r="H559" i="17"/>
  <c r="F560" i="17"/>
  <c r="G560" i="17"/>
  <c r="H560" i="17"/>
  <c r="F561" i="17"/>
  <c r="G561" i="17"/>
  <c r="H561" i="17"/>
  <c r="F562" i="17"/>
  <c r="G562" i="17"/>
  <c r="H562" i="17"/>
  <c r="F563" i="17"/>
  <c r="G563" i="17"/>
  <c r="H563" i="17"/>
  <c r="F564" i="17"/>
  <c r="G564" i="17"/>
  <c r="H564" i="17"/>
  <c r="F565" i="17"/>
  <c r="G565" i="17"/>
  <c r="H565" i="17"/>
  <c r="F566" i="17"/>
  <c r="G566" i="17"/>
  <c r="H566" i="17"/>
  <c r="F567" i="17"/>
  <c r="G567" i="17"/>
  <c r="H567" i="17"/>
  <c r="F568" i="17"/>
  <c r="G568" i="17"/>
  <c r="H568" i="17"/>
  <c r="F569" i="17"/>
  <c r="G569" i="17"/>
  <c r="H569" i="17"/>
  <c r="F570" i="17"/>
  <c r="G570" i="17"/>
  <c r="H570" i="17"/>
  <c r="F571" i="17"/>
  <c r="G571" i="17"/>
  <c r="H571" i="17"/>
  <c r="F572" i="17"/>
  <c r="G572" i="17"/>
  <c r="H572" i="17"/>
  <c r="F573" i="17"/>
  <c r="G573" i="17"/>
  <c r="H573" i="17"/>
  <c r="F574" i="17"/>
  <c r="G574" i="17"/>
  <c r="H574" i="17"/>
  <c r="F575" i="17"/>
  <c r="G575" i="17"/>
  <c r="H575" i="17"/>
  <c r="F576" i="17"/>
  <c r="G576" i="17"/>
  <c r="H576" i="17"/>
  <c r="F577" i="17"/>
  <c r="G577" i="17"/>
  <c r="H577" i="17"/>
  <c r="F578" i="17"/>
  <c r="G578" i="17"/>
  <c r="H578" i="17"/>
  <c r="F579" i="17"/>
  <c r="G579" i="17"/>
  <c r="H579" i="17"/>
  <c r="F580" i="17"/>
  <c r="G580" i="17"/>
  <c r="H580" i="17"/>
  <c r="F581" i="17"/>
  <c r="G581" i="17"/>
  <c r="H581" i="17"/>
  <c r="F582" i="17"/>
  <c r="G582" i="17"/>
  <c r="H582" i="17"/>
  <c r="F583" i="17"/>
  <c r="G583" i="17"/>
  <c r="H583" i="17"/>
  <c r="F584" i="17"/>
  <c r="G584" i="17"/>
  <c r="H584" i="17"/>
  <c r="F585" i="17"/>
  <c r="G585" i="17"/>
  <c r="H585" i="17"/>
  <c r="F586" i="17"/>
  <c r="G586" i="17"/>
  <c r="H586" i="17"/>
  <c r="F587" i="17"/>
  <c r="G587" i="17"/>
  <c r="H587" i="17"/>
  <c r="F588" i="17"/>
  <c r="G588" i="17"/>
  <c r="H588" i="17"/>
  <c r="F589" i="17"/>
  <c r="G589" i="17"/>
  <c r="H589" i="17"/>
  <c r="F590" i="17"/>
  <c r="G590" i="17"/>
  <c r="H590" i="17"/>
  <c r="F591" i="17"/>
  <c r="G591" i="17"/>
  <c r="H591" i="17"/>
  <c r="F592" i="17"/>
  <c r="G592" i="17"/>
  <c r="H592" i="17"/>
  <c r="F593" i="17"/>
  <c r="G593" i="17"/>
  <c r="H593" i="17"/>
  <c r="F594" i="17"/>
  <c r="G594" i="17"/>
  <c r="H594" i="17"/>
  <c r="F595" i="17"/>
  <c r="G595" i="17"/>
  <c r="H595" i="17"/>
  <c r="F596" i="17"/>
  <c r="G596" i="17"/>
  <c r="H596" i="17"/>
  <c r="F597" i="17"/>
  <c r="G597" i="17"/>
  <c r="H597" i="17"/>
  <c r="F598" i="17"/>
  <c r="G598" i="17"/>
  <c r="H598" i="17"/>
  <c r="F599" i="17"/>
  <c r="G599" i="17"/>
  <c r="H599" i="17"/>
  <c r="F600" i="17"/>
  <c r="G600" i="17"/>
  <c r="H600" i="17"/>
  <c r="F601" i="17"/>
  <c r="G601" i="17"/>
  <c r="H601" i="17"/>
  <c r="F602" i="17"/>
  <c r="G602" i="17"/>
  <c r="H602" i="17"/>
  <c r="F603" i="17"/>
  <c r="G603" i="17"/>
  <c r="H603" i="17"/>
  <c r="F604" i="17"/>
  <c r="G604" i="17"/>
  <c r="H604" i="17"/>
  <c r="F605" i="17"/>
  <c r="G605" i="17"/>
  <c r="H605" i="17"/>
  <c r="F606" i="17"/>
  <c r="G606" i="17"/>
  <c r="H606" i="17"/>
  <c r="F607" i="17"/>
  <c r="G607" i="17"/>
  <c r="H607" i="17"/>
  <c r="F608" i="17"/>
  <c r="G608" i="17"/>
  <c r="H608" i="17"/>
  <c r="F609" i="17"/>
  <c r="G609" i="17"/>
  <c r="H609" i="17"/>
  <c r="F610" i="17"/>
  <c r="G610" i="17"/>
  <c r="H610" i="17"/>
  <c r="F611" i="17"/>
  <c r="G611" i="17"/>
  <c r="H611" i="17"/>
  <c r="F612" i="17"/>
  <c r="G612" i="17"/>
  <c r="H612" i="17"/>
  <c r="F613" i="17"/>
  <c r="G613" i="17"/>
  <c r="H613" i="17"/>
  <c r="F614" i="17"/>
  <c r="G614" i="17"/>
  <c r="H614" i="17"/>
  <c r="F615" i="17"/>
  <c r="G615" i="17"/>
  <c r="H615" i="17"/>
  <c r="F616" i="17"/>
  <c r="G616" i="17"/>
  <c r="H616" i="17"/>
  <c r="F617" i="17"/>
  <c r="G617" i="17"/>
  <c r="H617" i="17"/>
  <c r="F618" i="17"/>
  <c r="G618" i="17"/>
  <c r="H618" i="17"/>
  <c r="F619" i="17"/>
  <c r="G619" i="17"/>
  <c r="H619" i="17"/>
  <c r="F620" i="17"/>
  <c r="G620" i="17"/>
  <c r="H620" i="17"/>
  <c r="F621" i="17"/>
  <c r="G621" i="17"/>
  <c r="H621" i="17"/>
  <c r="F622" i="17"/>
  <c r="G622" i="17"/>
  <c r="H622" i="17"/>
  <c r="F623" i="17"/>
  <c r="G623" i="17"/>
  <c r="H623" i="17"/>
  <c r="F624" i="17"/>
  <c r="G624" i="17"/>
  <c r="H624" i="17"/>
  <c r="F625" i="17"/>
  <c r="G625" i="17"/>
  <c r="H625" i="17"/>
  <c r="F626" i="17"/>
  <c r="G626" i="17"/>
  <c r="H626" i="17"/>
  <c r="F627" i="17"/>
  <c r="G627" i="17"/>
  <c r="H627" i="17"/>
  <c r="F628" i="17"/>
  <c r="G628" i="17"/>
  <c r="H628" i="17"/>
  <c r="F629" i="17"/>
  <c r="G629" i="17"/>
  <c r="H629" i="17"/>
  <c r="F630" i="17"/>
  <c r="G630" i="17"/>
  <c r="H630" i="17"/>
  <c r="F631" i="17"/>
  <c r="G631" i="17"/>
  <c r="H631" i="17"/>
  <c r="F632" i="17"/>
  <c r="G632" i="17"/>
  <c r="H632" i="17"/>
  <c r="F633" i="17"/>
  <c r="G633" i="17"/>
  <c r="H633" i="17"/>
  <c r="F634" i="17"/>
  <c r="G634" i="17"/>
  <c r="H634" i="17"/>
  <c r="F635" i="17"/>
  <c r="G635" i="17"/>
  <c r="H635" i="17"/>
  <c r="F636" i="17"/>
  <c r="G636" i="17"/>
  <c r="H636" i="17"/>
  <c r="F637" i="17"/>
  <c r="G637" i="17"/>
  <c r="H637" i="17"/>
  <c r="F638" i="17"/>
  <c r="G638" i="17"/>
  <c r="H638" i="17"/>
  <c r="F639" i="17"/>
  <c r="G639" i="17"/>
  <c r="H639" i="17"/>
  <c r="F640" i="17"/>
  <c r="G640" i="17"/>
  <c r="H640" i="17"/>
  <c r="F641" i="17"/>
  <c r="G641" i="17"/>
  <c r="H641" i="17"/>
  <c r="F642" i="17"/>
  <c r="G642" i="17"/>
  <c r="H642" i="17"/>
  <c r="F643" i="17"/>
  <c r="G643" i="17"/>
  <c r="H643" i="17"/>
  <c r="F644" i="17"/>
  <c r="G644" i="17"/>
  <c r="H644" i="17"/>
  <c r="F645" i="17"/>
  <c r="G645" i="17"/>
  <c r="H645" i="17"/>
  <c r="F646" i="17"/>
  <c r="G646" i="17"/>
  <c r="H646" i="17"/>
  <c r="F647" i="17"/>
  <c r="G647" i="17"/>
  <c r="H647" i="17"/>
  <c r="F648" i="17"/>
  <c r="G648" i="17"/>
  <c r="H648" i="17"/>
  <c r="F649" i="17"/>
  <c r="G649" i="17"/>
  <c r="H649" i="17"/>
  <c r="F650" i="17"/>
  <c r="G650" i="17"/>
  <c r="H650" i="17"/>
  <c r="F651" i="17"/>
  <c r="G651" i="17"/>
  <c r="H651" i="17"/>
  <c r="F652" i="17"/>
  <c r="G652" i="17"/>
  <c r="H652" i="17"/>
  <c r="F653" i="17"/>
  <c r="G653" i="17"/>
  <c r="H653" i="17"/>
  <c r="F654" i="17"/>
  <c r="G654" i="17"/>
  <c r="H654" i="17"/>
  <c r="F655" i="17"/>
  <c r="G655" i="17"/>
  <c r="H655" i="17"/>
  <c r="F656" i="17"/>
  <c r="G656" i="17"/>
  <c r="H656" i="17"/>
  <c r="F657" i="17"/>
  <c r="G657" i="17"/>
  <c r="H657" i="17"/>
  <c r="F658" i="17"/>
  <c r="G658" i="17"/>
  <c r="H658" i="17"/>
  <c r="F659" i="17"/>
  <c r="G659" i="17"/>
  <c r="H659" i="17"/>
  <c r="F660" i="17"/>
  <c r="G660" i="17"/>
  <c r="H660" i="17"/>
  <c r="F661" i="17"/>
  <c r="G661" i="17"/>
  <c r="H661" i="17"/>
  <c r="F662" i="17"/>
  <c r="G662" i="17"/>
  <c r="H662" i="17"/>
  <c r="F663" i="17"/>
  <c r="G663" i="17"/>
  <c r="H663" i="17"/>
  <c r="F664" i="17"/>
  <c r="G664" i="17"/>
  <c r="H664" i="17"/>
  <c r="F665" i="17"/>
  <c r="G665" i="17"/>
  <c r="H665" i="17"/>
  <c r="F666" i="17"/>
  <c r="G666" i="17"/>
  <c r="H666" i="17"/>
  <c r="F667" i="17"/>
  <c r="G667" i="17"/>
  <c r="H667" i="17"/>
  <c r="F668" i="17"/>
  <c r="G668" i="17"/>
  <c r="H668" i="17"/>
  <c r="F669" i="17"/>
  <c r="G669" i="17"/>
  <c r="H669" i="17"/>
  <c r="F670" i="17"/>
  <c r="G670" i="17"/>
  <c r="H670" i="17"/>
  <c r="F671" i="17"/>
  <c r="G671" i="17"/>
  <c r="H671" i="17"/>
  <c r="F672" i="17"/>
  <c r="G672" i="17"/>
  <c r="H672" i="17"/>
  <c r="F673" i="17"/>
  <c r="G673" i="17"/>
  <c r="H673" i="17"/>
  <c r="F674" i="17"/>
  <c r="G674" i="17"/>
  <c r="H674" i="17"/>
  <c r="F675" i="17"/>
  <c r="G675" i="17"/>
  <c r="H675" i="17"/>
  <c r="F676" i="17"/>
  <c r="G676" i="17"/>
  <c r="H676" i="17"/>
  <c r="F677" i="17"/>
  <c r="G677" i="17"/>
  <c r="H677" i="17"/>
  <c r="F678" i="17"/>
  <c r="G678" i="17"/>
  <c r="H678" i="17"/>
  <c r="F679" i="17"/>
  <c r="G679" i="17"/>
  <c r="H679" i="17"/>
  <c r="F680" i="17"/>
  <c r="G680" i="17"/>
  <c r="H680" i="17"/>
  <c r="F681" i="17"/>
  <c r="G681" i="17"/>
  <c r="H681" i="17"/>
  <c r="F682" i="17"/>
  <c r="G682" i="17"/>
  <c r="H682" i="17"/>
  <c r="F683" i="17"/>
  <c r="G683" i="17"/>
  <c r="H683" i="17"/>
  <c r="F684" i="17"/>
  <c r="G684" i="17"/>
  <c r="H684" i="17"/>
  <c r="F685" i="17"/>
  <c r="G685" i="17"/>
  <c r="H685" i="17"/>
  <c r="F686" i="17"/>
  <c r="G686" i="17"/>
  <c r="H686" i="17"/>
  <c r="F687" i="17"/>
  <c r="G687" i="17"/>
  <c r="H687" i="17"/>
  <c r="F688" i="17"/>
  <c r="G688" i="17"/>
  <c r="H688" i="17"/>
  <c r="F689" i="17"/>
  <c r="G689" i="17"/>
  <c r="H689" i="17"/>
  <c r="F690" i="17"/>
  <c r="G690" i="17"/>
  <c r="H690" i="17"/>
  <c r="F691" i="17"/>
  <c r="G691" i="17"/>
  <c r="H691" i="17"/>
  <c r="F692" i="17"/>
  <c r="G692" i="17"/>
  <c r="H692" i="17"/>
  <c r="F693" i="17"/>
  <c r="G693" i="17"/>
  <c r="H693" i="17"/>
  <c r="F694" i="17"/>
  <c r="G694" i="17"/>
  <c r="H694" i="17"/>
  <c r="F695" i="17"/>
  <c r="G695" i="17"/>
  <c r="H695" i="17"/>
  <c r="F696" i="17"/>
  <c r="G696" i="17"/>
  <c r="H696" i="17"/>
  <c r="F697" i="17"/>
  <c r="G697" i="17"/>
  <c r="H697" i="17"/>
  <c r="F698" i="17"/>
  <c r="G698" i="17"/>
  <c r="H698" i="17"/>
  <c r="F699" i="17"/>
  <c r="G699" i="17"/>
  <c r="H699" i="17"/>
  <c r="F700" i="17"/>
  <c r="G700" i="17"/>
  <c r="H700" i="17"/>
  <c r="F701" i="17"/>
  <c r="G701" i="17"/>
  <c r="H701" i="17"/>
  <c r="F702" i="17"/>
  <c r="G702" i="17"/>
  <c r="H702" i="17"/>
  <c r="F703" i="17"/>
  <c r="G703" i="17"/>
  <c r="H703" i="17"/>
  <c r="F704" i="17"/>
  <c r="G704" i="17"/>
  <c r="H704" i="17"/>
  <c r="F705" i="17"/>
  <c r="G705" i="17"/>
  <c r="H705" i="17"/>
  <c r="F706" i="17"/>
  <c r="G706" i="17"/>
  <c r="H706" i="17"/>
  <c r="F707" i="17"/>
  <c r="G707" i="17"/>
  <c r="H707" i="17"/>
  <c r="F708" i="17"/>
  <c r="G708" i="17"/>
  <c r="H708" i="17"/>
  <c r="F709" i="17"/>
  <c r="G709" i="17"/>
  <c r="H709" i="17"/>
  <c r="F710" i="17"/>
  <c r="G710" i="17"/>
  <c r="H710" i="17"/>
  <c r="F711" i="17"/>
  <c r="G711" i="17"/>
  <c r="H711" i="17"/>
  <c r="F712" i="17"/>
  <c r="G712" i="17"/>
  <c r="H712" i="17"/>
  <c r="F713" i="17"/>
  <c r="G713" i="17"/>
  <c r="H713" i="17"/>
  <c r="F714" i="17"/>
  <c r="G714" i="17"/>
  <c r="H714" i="17"/>
  <c r="F715" i="17"/>
  <c r="G715" i="17"/>
  <c r="H715" i="17"/>
  <c r="F716" i="17"/>
  <c r="G716" i="17"/>
  <c r="H716" i="17"/>
  <c r="F717" i="17"/>
  <c r="G717" i="17"/>
  <c r="H717" i="17"/>
  <c r="F718" i="17"/>
  <c r="G718" i="17"/>
  <c r="H718" i="17"/>
  <c r="F719" i="17"/>
  <c r="G719" i="17"/>
  <c r="H719" i="17"/>
  <c r="F720" i="17"/>
  <c r="G720" i="17"/>
  <c r="H720" i="17"/>
  <c r="F721" i="17"/>
  <c r="G721" i="17"/>
  <c r="H721" i="17"/>
  <c r="F722" i="17"/>
  <c r="G722" i="17"/>
  <c r="H722" i="17"/>
  <c r="F723" i="17"/>
  <c r="G723" i="17"/>
  <c r="H723" i="17"/>
  <c r="F724" i="17"/>
  <c r="G724" i="17"/>
  <c r="H724" i="17"/>
  <c r="F725" i="17"/>
  <c r="G725" i="17"/>
  <c r="H725" i="17"/>
  <c r="F726" i="17"/>
  <c r="G726" i="17"/>
  <c r="H726" i="17"/>
  <c r="F727" i="17"/>
  <c r="G727" i="17"/>
  <c r="H727" i="17"/>
  <c r="F728" i="17"/>
  <c r="G728" i="17"/>
  <c r="H728" i="17"/>
  <c r="F729" i="17"/>
  <c r="G729" i="17"/>
  <c r="H729" i="17"/>
  <c r="F730" i="17"/>
  <c r="G730" i="17"/>
  <c r="H730" i="17"/>
  <c r="F731" i="17"/>
  <c r="G731" i="17"/>
  <c r="H731" i="17"/>
  <c r="F732" i="17"/>
  <c r="G732" i="17"/>
  <c r="H732" i="17"/>
  <c r="F733" i="17"/>
  <c r="G733" i="17"/>
  <c r="H733" i="17"/>
  <c r="F734" i="17"/>
  <c r="G734" i="17"/>
  <c r="H734" i="17"/>
  <c r="F735" i="17"/>
  <c r="G735" i="17"/>
  <c r="H735" i="17"/>
  <c r="F736" i="17"/>
  <c r="G736" i="17"/>
  <c r="H736" i="17"/>
  <c r="F737" i="17"/>
  <c r="G737" i="17"/>
  <c r="H737" i="17"/>
  <c r="F738" i="17"/>
  <c r="G738" i="17"/>
  <c r="H738" i="17"/>
  <c r="F739" i="17"/>
  <c r="G739" i="17"/>
  <c r="H739" i="17"/>
  <c r="F740" i="17"/>
  <c r="G740" i="17"/>
  <c r="H740" i="17"/>
  <c r="F741" i="17"/>
  <c r="G741" i="17"/>
  <c r="H741" i="17"/>
  <c r="F742" i="17"/>
  <c r="G742" i="17"/>
  <c r="H742" i="17"/>
  <c r="F743" i="17"/>
  <c r="G743" i="17"/>
  <c r="H743" i="17"/>
  <c r="F744" i="17"/>
  <c r="G744" i="17"/>
  <c r="H744" i="17"/>
  <c r="F745" i="17"/>
  <c r="G745" i="17"/>
  <c r="H745" i="17"/>
  <c r="F746" i="17"/>
  <c r="G746" i="17"/>
  <c r="H746" i="17"/>
  <c r="F747" i="17"/>
  <c r="G747" i="17"/>
  <c r="H747" i="17"/>
  <c r="F748" i="17"/>
  <c r="G748" i="17"/>
  <c r="H748" i="17"/>
  <c r="F749" i="17"/>
  <c r="G749" i="17"/>
  <c r="H749" i="17"/>
  <c r="F750" i="17"/>
  <c r="G750" i="17"/>
  <c r="H750" i="17"/>
  <c r="F751" i="17"/>
  <c r="G751" i="17"/>
  <c r="H751" i="17"/>
  <c r="F752" i="17"/>
  <c r="G752" i="17"/>
  <c r="H752" i="17"/>
  <c r="F753" i="17"/>
  <c r="G753" i="17"/>
  <c r="H753" i="17"/>
  <c r="F754" i="17"/>
  <c r="G754" i="17"/>
  <c r="H754" i="17"/>
  <c r="F755" i="17"/>
  <c r="G755" i="17"/>
  <c r="H755" i="17"/>
  <c r="F756" i="17"/>
  <c r="G756" i="17"/>
  <c r="H756" i="17"/>
  <c r="F757" i="17"/>
  <c r="G757" i="17"/>
  <c r="H757" i="17"/>
  <c r="F758" i="17"/>
  <c r="G758" i="17"/>
  <c r="H758" i="17"/>
  <c r="F759" i="17"/>
  <c r="G759" i="17"/>
  <c r="H759" i="17"/>
  <c r="F760" i="17"/>
  <c r="G760" i="17"/>
  <c r="H760" i="17"/>
  <c r="F761" i="17"/>
  <c r="G761" i="17"/>
  <c r="H761" i="17"/>
  <c r="F762" i="17"/>
  <c r="G762" i="17"/>
  <c r="H762" i="17"/>
  <c r="F763" i="17"/>
  <c r="G763" i="17"/>
  <c r="H763" i="17"/>
  <c r="F764" i="17"/>
  <c r="G764" i="17"/>
  <c r="H764" i="17"/>
  <c r="F765" i="17"/>
  <c r="G765" i="17"/>
  <c r="H765" i="17"/>
  <c r="F766" i="17"/>
  <c r="G766" i="17"/>
  <c r="H766" i="17"/>
  <c r="F767" i="17"/>
  <c r="G767" i="17"/>
  <c r="H767" i="17"/>
  <c r="F768" i="17"/>
  <c r="G768" i="17"/>
  <c r="H768" i="17"/>
  <c r="F769" i="17"/>
  <c r="G769" i="17"/>
  <c r="H769" i="17"/>
  <c r="F770" i="17"/>
  <c r="G770" i="17"/>
  <c r="H770" i="17"/>
  <c r="F771" i="17"/>
  <c r="G771" i="17"/>
  <c r="H771" i="17"/>
  <c r="F772" i="17"/>
  <c r="G772" i="17"/>
  <c r="H772" i="17"/>
  <c r="F773" i="17"/>
  <c r="G773" i="17"/>
  <c r="H773" i="17"/>
  <c r="F774" i="17"/>
  <c r="G774" i="17"/>
  <c r="H774" i="17"/>
  <c r="F775" i="17"/>
  <c r="G775" i="17"/>
  <c r="H775" i="17"/>
  <c r="F776" i="17"/>
  <c r="G776" i="17"/>
  <c r="H776" i="17"/>
  <c r="F777" i="17"/>
  <c r="G777" i="17"/>
  <c r="H777" i="17"/>
  <c r="F778" i="17"/>
  <c r="G778" i="17"/>
  <c r="H778" i="17"/>
  <c r="F779" i="17"/>
  <c r="G779" i="17"/>
  <c r="H779" i="17"/>
  <c r="F780" i="17"/>
  <c r="G780" i="17"/>
  <c r="H780" i="17"/>
  <c r="F781" i="17"/>
  <c r="G781" i="17"/>
  <c r="H781" i="17"/>
  <c r="F782" i="17"/>
  <c r="G782" i="17"/>
  <c r="H782" i="17"/>
  <c r="F783" i="17"/>
  <c r="G783" i="17"/>
  <c r="H783" i="17"/>
  <c r="F784" i="17"/>
  <c r="G784" i="17"/>
  <c r="H784" i="17"/>
  <c r="F785" i="17"/>
  <c r="G785" i="17"/>
  <c r="H785" i="17"/>
  <c r="F786" i="17"/>
  <c r="G786" i="17"/>
  <c r="H786" i="17"/>
  <c r="F787" i="17"/>
  <c r="G787" i="17"/>
  <c r="H787" i="17"/>
  <c r="F788" i="17"/>
  <c r="G788" i="17"/>
  <c r="H788" i="17"/>
  <c r="F789" i="17"/>
  <c r="G789" i="17"/>
  <c r="H789" i="17"/>
  <c r="F790" i="17"/>
  <c r="G790" i="17"/>
  <c r="H790" i="17"/>
  <c r="F791" i="17"/>
  <c r="G791" i="17"/>
  <c r="H791" i="17"/>
  <c r="F792" i="17"/>
  <c r="G792" i="17"/>
  <c r="H792" i="17"/>
  <c r="F793" i="17"/>
  <c r="G793" i="17"/>
  <c r="H793" i="17"/>
  <c r="F794" i="17"/>
  <c r="G794" i="17"/>
  <c r="H794" i="17"/>
  <c r="F795" i="17"/>
  <c r="G795" i="17"/>
  <c r="H795" i="17"/>
  <c r="F796" i="17"/>
  <c r="G796" i="17"/>
  <c r="H796" i="17"/>
  <c r="F797" i="17"/>
  <c r="G797" i="17"/>
  <c r="H797" i="17"/>
  <c r="F798" i="17"/>
  <c r="G798" i="17"/>
  <c r="H798" i="17"/>
  <c r="F799" i="17"/>
  <c r="G799" i="17"/>
  <c r="H799" i="17"/>
  <c r="F800" i="17"/>
  <c r="G800" i="17"/>
  <c r="H800" i="17"/>
  <c r="F801" i="17"/>
  <c r="G801" i="17"/>
  <c r="H801" i="17"/>
  <c r="F802" i="17"/>
  <c r="G802" i="17"/>
  <c r="H802" i="17"/>
  <c r="F803" i="17"/>
  <c r="G803" i="17"/>
  <c r="H803" i="17"/>
  <c r="F804" i="17"/>
  <c r="G804" i="17"/>
  <c r="H804" i="17"/>
  <c r="F805" i="17"/>
  <c r="G805" i="17"/>
  <c r="H805" i="17"/>
  <c r="F806" i="17"/>
  <c r="G806" i="17"/>
  <c r="H806" i="17"/>
  <c r="F807" i="17"/>
  <c r="G807" i="17"/>
  <c r="H807" i="17"/>
  <c r="F808" i="17"/>
  <c r="G808" i="17"/>
  <c r="H808" i="17"/>
  <c r="F809" i="17"/>
  <c r="G809" i="17"/>
  <c r="H809" i="17"/>
  <c r="F810" i="17"/>
  <c r="G810" i="17"/>
  <c r="H810" i="17"/>
  <c r="F811" i="17"/>
  <c r="G811" i="17"/>
  <c r="H811" i="17"/>
  <c r="F812" i="17"/>
  <c r="G812" i="17"/>
  <c r="H812" i="17"/>
  <c r="F813" i="17"/>
  <c r="G813" i="17"/>
  <c r="H813" i="17"/>
  <c r="F814" i="17"/>
  <c r="G814" i="17"/>
  <c r="H814" i="17"/>
  <c r="F815" i="17"/>
  <c r="G815" i="17"/>
  <c r="H815" i="17"/>
  <c r="F816" i="17"/>
  <c r="G816" i="17"/>
  <c r="H816" i="17"/>
  <c r="F817" i="17"/>
  <c r="G817" i="17"/>
  <c r="H817" i="17"/>
  <c r="F818" i="17"/>
  <c r="G818" i="17"/>
  <c r="H818" i="17"/>
  <c r="F819" i="17"/>
  <c r="G819" i="17"/>
  <c r="H819" i="17"/>
  <c r="F820" i="17"/>
  <c r="G820" i="17"/>
  <c r="H820" i="17"/>
  <c r="F821" i="17"/>
  <c r="G821" i="17"/>
  <c r="H821" i="17"/>
  <c r="F822" i="17"/>
  <c r="G822" i="17"/>
  <c r="H822" i="17"/>
  <c r="F823" i="17"/>
  <c r="G823" i="17"/>
  <c r="H823" i="17"/>
  <c r="F824" i="17"/>
  <c r="G824" i="17"/>
  <c r="H824" i="17"/>
  <c r="F825" i="17"/>
  <c r="G825" i="17"/>
  <c r="H825" i="17"/>
  <c r="F826" i="17"/>
  <c r="G826" i="17"/>
  <c r="H826" i="17"/>
  <c r="F827" i="17"/>
  <c r="G827" i="17"/>
  <c r="H827" i="17"/>
  <c r="F828" i="17"/>
  <c r="G828" i="17"/>
  <c r="H828" i="17"/>
  <c r="F829" i="17"/>
  <c r="G829" i="17"/>
  <c r="H829" i="17"/>
  <c r="F830" i="17"/>
  <c r="G830" i="17"/>
  <c r="H830" i="17"/>
  <c r="F831" i="17"/>
  <c r="G831" i="17"/>
  <c r="H831" i="17"/>
  <c r="F832" i="17"/>
  <c r="G832" i="17"/>
  <c r="H832" i="17"/>
  <c r="F833" i="17"/>
  <c r="G833" i="17"/>
  <c r="H833" i="17"/>
  <c r="F834" i="17"/>
  <c r="G834" i="17"/>
  <c r="H834" i="17"/>
  <c r="F835" i="17"/>
  <c r="G835" i="17"/>
  <c r="H835" i="17"/>
  <c r="F836" i="17"/>
  <c r="G836" i="17"/>
  <c r="H836" i="17"/>
  <c r="F837" i="17"/>
  <c r="G837" i="17"/>
  <c r="H837" i="17"/>
  <c r="F838" i="17"/>
  <c r="G838" i="17"/>
  <c r="H838" i="17"/>
  <c r="F839" i="17"/>
  <c r="G839" i="17"/>
  <c r="H839" i="17"/>
  <c r="F840" i="17"/>
  <c r="G840" i="17"/>
  <c r="H840" i="17"/>
  <c r="F841" i="17"/>
  <c r="G841" i="17"/>
  <c r="H841" i="17"/>
  <c r="F842" i="17"/>
  <c r="G842" i="17"/>
  <c r="H842" i="17"/>
  <c r="F843" i="17"/>
  <c r="G843" i="17"/>
  <c r="H843" i="17"/>
  <c r="F844" i="17"/>
  <c r="G844" i="17"/>
  <c r="H844" i="17"/>
  <c r="F845" i="17"/>
  <c r="G845" i="17"/>
  <c r="H845" i="17"/>
  <c r="F846" i="17"/>
  <c r="G846" i="17"/>
  <c r="H846" i="17"/>
  <c r="F847" i="17"/>
  <c r="G847" i="17"/>
  <c r="H847" i="17"/>
  <c r="F848" i="17"/>
  <c r="G848" i="17"/>
  <c r="H848" i="17"/>
  <c r="F849" i="17"/>
  <c r="G849" i="17"/>
  <c r="H849" i="17"/>
  <c r="F850" i="17"/>
  <c r="G850" i="17"/>
  <c r="H850" i="17"/>
  <c r="F851" i="17"/>
  <c r="G851" i="17"/>
  <c r="H851" i="17"/>
  <c r="F852" i="17"/>
  <c r="G852" i="17"/>
  <c r="H852" i="17"/>
  <c r="F853" i="17"/>
  <c r="G853" i="17"/>
  <c r="H853" i="17"/>
  <c r="F854" i="17"/>
  <c r="G854" i="17"/>
  <c r="H854" i="17"/>
  <c r="F855" i="17"/>
  <c r="G855" i="17"/>
  <c r="H855" i="17"/>
  <c r="F856" i="17"/>
  <c r="G856" i="17"/>
  <c r="H856" i="17"/>
  <c r="F857" i="17"/>
  <c r="G857" i="17"/>
  <c r="H857" i="17"/>
  <c r="F858" i="17"/>
  <c r="G858" i="17"/>
  <c r="H858" i="17"/>
  <c r="F859" i="17"/>
  <c r="G859" i="17"/>
  <c r="H859" i="17"/>
  <c r="F860" i="17"/>
  <c r="G860" i="17"/>
  <c r="H860" i="17"/>
  <c r="F861" i="17"/>
  <c r="G861" i="17"/>
  <c r="H861" i="17"/>
  <c r="F862" i="17"/>
  <c r="G862" i="17"/>
  <c r="H862" i="17"/>
  <c r="F863" i="17"/>
  <c r="G863" i="17"/>
  <c r="H863" i="17"/>
  <c r="F864" i="17"/>
  <c r="G864" i="17"/>
  <c r="H864" i="17"/>
  <c r="F865" i="17"/>
  <c r="G865" i="17"/>
  <c r="H865" i="17"/>
  <c r="F866" i="17"/>
  <c r="G866" i="17"/>
  <c r="H866" i="17"/>
  <c r="F867" i="17"/>
  <c r="G867" i="17"/>
  <c r="H867" i="17"/>
  <c r="F868" i="17"/>
  <c r="G868" i="17"/>
  <c r="H868" i="17"/>
  <c r="F869" i="17"/>
  <c r="G869" i="17"/>
  <c r="H869" i="17"/>
  <c r="F870" i="17"/>
  <c r="G870" i="17"/>
  <c r="H870" i="17"/>
  <c r="F871" i="17"/>
  <c r="G871" i="17"/>
  <c r="H871" i="17"/>
  <c r="F872" i="17"/>
  <c r="G872" i="17"/>
  <c r="H872" i="17"/>
  <c r="F873" i="17"/>
  <c r="G873" i="17"/>
  <c r="H873" i="17"/>
  <c r="F874" i="17"/>
  <c r="G874" i="17"/>
  <c r="H874" i="17"/>
  <c r="F875" i="17"/>
  <c r="G875" i="17"/>
  <c r="H875" i="17"/>
  <c r="F876" i="17"/>
  <c r="G876" i="17"/>
  <c r="H876" i="17"/>
  <c r="F877" i="17"/>
  <c r="G877" i="17"/>
  <c r="H877" i="17"/>
  <c r="F878" i="17"/>
  <c r="G878" i="17"/>
  <c r="H878" i="17"/>
  <c r="F879" i="17"/>
  <c r="G879" i="17"/>
  <c r="H879" i="17"/>
  <c r="F880" i="17"/>
  <c r="G880" i="17"/>
  <c r="H880" i="17"/>
  <c r="F881" i="17"/>
  <c r="G881" i="17"/>
  <c r="H881" i="17"/>
  <c r="F882" i="17"/>
  <c r="G882" i="17"/>
  <c r="H882" i="17"/>
  <c r="F883" i="17"/>
  <c r="G883" i="17"/>
  <c r="H883" i="17"/>
  <c r="F884" i="17"/>
  <c r="G884" i="17"/>
  <c r="H884" i="17"/>
  <c r="F885" i="17"/>
  <c r="G885" i="17"/>
  <c r="H885" i="17"/>
  <c r="F886" i="17"/>
  <c r="G886" i="17"/>
  <c r="H886" i="17"/>
  <c r="F887" i="17"/>
  <c r="G887" i="17"/>
  <c r="H887" i="17"/>
  <c r="F888" i="17"/>
  <c r="G888" i="17"/>
  <c r="H888" i="17"/>
  <c r="F889" i="17"/>
  <c r="G889" i="17"/>
  <c r="H889" i="17"/>
  <c r="F890" i="17"/>
  <c r="G890" i="17"/>
  <c r="H890" i="17"/>
  <c r="F891" i="17"/>
  <c r="G891" i="17"/>
  <c r="H891" i="17"/>
  <c r="F892" i="17"/>
  <c r="G892" i="17"/>
  <c r="H892" i="17"/>
  <c r="F893" i="17"/>
  <c r="G893" i="17"/>
  <c r="H893" i="17"/>
  <c r="F894" i="17"/>
  <c r="G894" i="17"/>
  <c r="H894" i="17"/>
  <c r="F895" i="17"/>
  <c r="G895" i="17"/>
  <c r="H895" i="17"/>
  <c r="F896" i="17"/>
  <c r="G896" i="17"/>
  <c r="H896" i="17"/>
  <c r="F897" i="17"/>
  <c r="G897" i="17"/>
  <c r="H897" i="17"/>
  <c r="F898" i="17"/>
  <c r="G898" i="17"/>
  <c r="H898" i="17"/>
  <c r="F899" i="17"/>
  <c r="G899" i="17"/>
  <c r="H899" i="17"/>
  <c r="F900" i="17"/>
  <c r="G900" i="17"/>
  <c r="H900" i="17"/>
  <c r="F901" i="17"/>
  <c r="G901" i="17"/>
  <c r="H901" i="17"/>
  <c r="F902" i="17"/>
  <c r="G902" i="17"/>
  <c r="H902" i="17"/>
  <c r="F903" i="17"/>
  <c r="G903" i="17"/>
  <c r="H903" i="17"/>
  <c r="F904" i="17"/>
  <c r="G904" i="17"/>
  <c r="H904" i="17"/>
  <c r="F905" i="17"/>
  <c r="G905" i="17"/>
  <c r="H905" i="17"/>
  <c r="F906" i="17"/>
  <c r="G906" i="17"/>
  <c r="H906" i="17"/>
  <c r="F907" i="17"/>
  <c r="G907" i="17"/>
  <c r="H907" i="17"/>
  <c r="F908" i="17"/>
  <c r="G908" i="17"/>
  <c r="H908" i="17"/>
  <c r="F909" i="17"/>
  <c r="G909" i="17"/>
  <c r="H909" i="17"/>
  <c r="F910" i="17"/>
  <c r="G910" i="17"/>
  <c r="H910" i="17"/>
  <c r="F911" i="17"/>
  <c r="G911" i="17"/>
  <c r="H911" i="17"/>
  <c r="F912" i="17"/>
  <c r="G912" i="17"/>
  <c r="H912" i="17"/>
  <c r="F913" i="17"/>
  <c r="G913" i="17"/>
  <c r="H913" i="17"/>
  <c r="F914" i="17"/>
  <c r="G914" i="17"/>
  <c r="H914" i="17"/>
  <c r="F915" i="17"/>
  <c r="G915" i="17"/>
  <c r="H915" i="17"/>
  <c r="F916" i="17"/>
  <c r="G916" i="17"/>
  <c r="H916" i="17"/>
  <c r="F917" i="17"/>
  <c r="G917" i="17"/>
  <c r="H917" i="17"/>
  <c r="F918" i="17"/>
  <c r="G918" i="17"/>
  <c r="H918" i="17"/>
  <c r="F919" i="17"/>
  <c r="G919" i="17"/>
  <c r="H919" i="17"/>
  <c r="F920" i="17"/>
  <c r="G920" i="17"/>
  <c r="H920" i="17"/>
  <c r="F921" i="17"/>
  <c r="G921" i="17"/>
  <c r="H921" i="17"/>
  <c r="F922" i="17"/>
  <c r="G922" i="17"/>
  <c r="H922" i="17"/>
  <c r="F923" i="17"/>
  <c r="G923" i="17"/>
  <c r="H923" i="17"/>
  <c r="F924" i="17"/>
  <c r="G924" i="17"/>
  <c r="H924" i="17"/>
  <c r="F925" i="17"/>
  <c r="G925" i="17"/>
  <c r="H925" i="17"/>
  <c r="F926" i="17"/>
  <c r="G926" i="17"/>
  <c r="H926" i="17"/>
  <c r="F927" i="17"/>
  <c r="G927" i="17"/>
  <c r="H927" i="17"/>
  <c r="F928" i="17"/>
  <c r="G928" i="17"/>
  <c r="H928" i="17"/>
  <c r="F929" i="17"/>
  <c r="G929" i="17"/>
  <c r="H929" i="17"/>
  <c r="F930" i="17"/>
  <c r="G930" i="17"/>
  <c r="H930" i="17"/>
  <c r="F931" i="17"/>
  <c r="G931" i="17"/>
  <c r="H931" i="17"/>
  <c r="F932" i="17"/>
  <c r="G932" i="17"/>
  <c r="H932" i="17"/>
  <c r="F933" i="17"/>
  <c r="G933" i="17"/>
  <c r="H933" i="17"/>
  <c r="F934" i="17"/>
  <c r="G934" i="17"/>
  <c r="H934" i="17"/>
  <c r="F935" i="17"/>
  <c r="G935" i="17"/>
  <c r="H935" i="17"/>
  <c r="F936" i="17"/>
  <c r="G936" i="17"/>
  <c r="H936" i="17"/>
  <c r="F937" i="17"/>
  <c r="G937" i="17"/>
  <c r="H937" i="17"/>
  <c r="F938" i="17"/>
  <c r="G938" i="17"/>
  <c r="H938" i="17"/>
  <c r="F939" i="17"/>
  <c r="G939" i="17"/>
  <c r="H939" i="17"/>
  <c r="F940" i="17"/>
  <c r="G940" i="17"/>
  <c r="H940" i="17"/>
  <c r="F941" i="17"/>
  <c r="G941" i="17"/>
  <c r="H941" i="17"/>
  <c r="F942" i="17"/>
  <c r="G942" i="17"/>
  <c r="H942" i="17"/>
  <c r="F943" i="17"/>
  <c r="G943" i="17"/>
  <c r="H943" i="17"/>
  <c r="F944" i="17"/>
  <c r="G944" i="17"/>
  <c r="H944" i="17"/>
  <c r="F945" i="17"/>
  <c r="G945" i="17"/>
  <c r="H945" i="17"/>
  <c r="F946" i="17"/>
  <c r="G946" i="17"/>
  <c r="H946" i="17"/>
  <c r="F947" i="17"/>
  <c r="G947" i="17"/>
  <c r="H947" i="17"/>
  <c r="F948" i="17"/>
  <c r="G948" i="17"/>
  <c r="H948" i="17"/>
  <c r="F949" i="17"/>
  <c r="G949" i="17"/>
  <c r="H949" i="17"/>
  <c r="F950" i="17"/>
  <c r="G950" i="17"/>
  <c r="H950" i="17"/>
  <c r="F951" i="17"/>
  <c r="G951" i="17"/>
  <c r="H951" i="17"/>
  <c r="F952" i="17"/>
  <c r="G952" i="17"/>
  <c r="H952" i="17"/>
  <c r="F953" i="17"/>
  <c r="G953" i="17"/>
  <c r="H953" i="17"/>
  <c r="F954" i="17"/>
  <c r="G954" i="17"/>
  <c r="H954" i="17"/>
  <c r="F955" i="17"/>
  <c r="G955" i="17"/>
  <c r="H955" i="17"/>
  <c r="F956" i="17"/>
  <c r="G956" i="17"/>
  <c r="H956" i="17"/>
  <c r="F957" i="17"/>
  <c r="G957" i="17"/>
  <c r="H957" i="17"/>
  <c r="F958" i="17"/>
  <c r="G958" i="17"/>
  <c r="H958" i="17"/>
  <c r="F959" i="17"/>
  <c r="G959" i="17"/>
  <c r="H959" i="17"/>
  <c r="F960" i="17"/>
  <c r="G960" i="17"/>
  <c r="H960" i="17"/>
  <c r="F961" i="17"/>
  <c r="G961" i="17"/>
  <c r="H961" i="17"/>
  <c r="F962" i="17"/>
  <c r="G962" i="17"/>
  <c r="H962" i="17"/>
  <c r="F963" i="17"/>
  <c r="G963" i="17"/>
  <c r="H963" i="17"/>
  <c r="F964" i="17"/>
  <c r="G964" i="17"/>
  <c r="H964" i="17"/>
  <c r="F965" i="17"/>
  <c r="G965" i="17"/>
  <c r="H965" i="17"/>
  <c r="F966" i="17"/>
  <c r="G966" i="17"/>
  <c r="H966" i="17"/>
  <c r="F967" i="17"/>
  <c r="G967" i="17"/>
  <c r="H967" i="17"/>
  <c r="F968" i="17"/>
  <c r="G968" i="17"/>
  <c r="H968" i="17"/>
  <c r="F969" i="17"/>
  <c r="G969" i="17"/>
  <c r="H969" i="17"/>
  <c r="F970" i="17"/>
  <c r="G970" i="17"/>
  <c r="H970" i="17"/>
  <c r="F971" i="17"/>
  <c r="G971" i="17"/>
  <c r="H971" i="17"/>
  <c r="F972" i="17"/>
  <c r="G972" i="17"/>
  <c r="H972" i="17"/>
  <c r="F973" i="17"/>
  <c r="G973" i="17"/>
  <c r="H973" i="17"/>
  <c r="F974" i="17"/>
  <c r="G974" i="17"/>
  <c r="H974" i="17"/>
  <c r="F975" i="17"/>
  <c r="G975" i="17"/>
  <c r="H975" i="17"/>
  <c r="F976" i="17"/>
  <c r="G976" i="17"/>
  <c r="H976" i="17"/>
  <c r="F977" i="17"/>
  <c r="G977" i="17"/>
  <c r="H977" i="17"/>
  <c r="F978" i="17"/>
  <c r="G978" i="17"/>
  <c r="H978" i="17"/>
  <c r="F979" i="17"/>
  <c r="G979" i="17"/>
  <c r="H979" i="17"/>
  <c r="F980" i="17"/>
  <c r="G980" i="17"/>
  <c r="H980" i="17"/>
  <c r="F981" i="17"/>
  <c r="G981" i="17"/>
  <c r="H981" i="17"/>
  <c r="F982" i="17"/>
  <c r="G982" i="17"/>
  <c r="H982" i="17"/>
  <c r="F983" i="17"/>
  <c r="G983" i="17"/>
  <c r="H983" i="17"/>
  <c r="F984" i="17"/>
  <c r="G984" i="17"/>
  <c r="H984" i="17"/>
  <c r="F985" i="17"/>
  <c r="G985" i="17"/>
  <c r="H985" i="17"/>
  <c r="F986" i="17"/>
  <c r="G986" i="17"/>
  <c r="H986" i="17"/>
  <c r="F987" i="17"/>
  <c r="G987" i="17"/>
  <c r="H987" i="17"/>
  <c r="F988" i="17"/>
  <c r="G988" i="17"/>
  <c r="H988" i="17"/>
  <c r="F989" i="17"/>
  <c r="G989" i="17"/>
  <c r="H989" i="17"/>
  <c r="F990" i="17"/>
  <c r="G990" i="17"/>
  <c r="H990" i="17"/>
  <c r="F991" i="17"/>
  <c r="G991" i="17"/>
  <c r="H991" i="17"/>
  <c r="F992" i="17"/>
  <c r="G992" i="17"/>
  <c r="H992" i="17"/>
  <c r="F993" i="17"/>
  <c r="G993" i="17"/>
  <c r="H993" i="17"/>
  <c r="F994" i="17"/>
  <c r="G994" i="17"/>
  <c r="H994" i="17"/>
  <c r="F995" i="17"/>
  <c r="G995" i="17"/>
  <c r="H995" i="17"/>
  <c r="F996" i="17"/>
  <c r="G996" i="17"/>
  <c r="H996" i="17"/>
  <c r="F997" i="17"/>
  <c r="G997" i="17"/>
  <c r="H997" i="17"/>
  <c r="F998" i="17"/>
  <c r="G998" i="17"/>
  <c r="H998" i="17"/>
  <c r="F999" i="17"/>
  <c r="G999" i="17"/>
  <c r="H999" i="17"/>
  <c r="F1000" i="17"/>
  <c r="G1000" i="17"/>
  <c r="H1000" i="17"/>
  <c r="F1001" i="17"/>
  <c r="G1001" i="17"/>
  <c r="H1001" i="17"/>
</calcChain>
</file>

<file path=xl/sharedStrings.xml><?xml version="1.0" encoding="utf-8"?>
<sst xmlns="http://schemas.openxmlformats.org/spreadsheetml/2006/main" count="11952" uniqueCount="6227">
  <si>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</si>
  <si>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</si>
  <si>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</si>
  <si>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</si>
  <si>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</si>
  <si>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</si>
  <si>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</si>
  <si>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</si>
  <si>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</si>
  <si>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</si>
  <si>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</si>
  <si>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</si>
  <si>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</si>
  <si>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</si>
  <si>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</si>
  <si>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</si>
  <si>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</si>
  <si>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</si>
  <si>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</si>
  <si>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</si>
  <si>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</si>
  <si>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</si>
  <si>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</si>
  <si>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</si>
  <si>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</si>
  <si>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</si>
  <si>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</si>
  <si>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</si>
  <si>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</si>
  <si>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</si>
  <si>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</si>
  <si>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</si>
  <si>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</si>
  <si>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</si>
  <si>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</si>
  <si>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</si>
  <si>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</si>
  <si>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</si>
  <si>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</si>
  <si>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</si>
  <si>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</si>
  <si>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</si>
  <si>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</si>
  <si>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</si>
  <si>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</si>
  <si>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</si>
  <si>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</si>
  <si>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</si>
  <si>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</si>
  <si>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</si>
  <si>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</si>
  <si>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</si>
  <si>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</si>
  <si>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</si>
  <si>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</si>
  <si>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</si>
  <si>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</si>
  <si>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</si>
  <si>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</si>
  <si>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</si>
  <si>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</si>
  <si>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</si>
  <si>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</si>
  <si>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</si>
  <si>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</si>
  <si>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</si>
  <si>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</si>
  <si>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</si>
  <si>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</si>
  <si>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</si>
  <si>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</si>
  <si>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</si>
  <si>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</si>
  <si>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</si>
  <si>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</si>
  <si>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</si>
  <si>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</si>
  <si>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</si>
  <si>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</si>
  <si>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</si>
  <si>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</si>
  <si>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</si>
  <si>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</si>
  <si>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</si>
  <si>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</si>
  <si>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</si>
  <si>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</si>
  <si>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</si>
  <si>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</si>
  <si>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</si>
  <si>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</si>
  <si>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</si>
  <si>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</si>
  <si>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</si>
  <si>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</si>
  <si>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</si>
  <si>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</si>
  <si>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</si>
  <si>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</si>
  <si>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</si>
  <si>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</si>
  <si>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</si>
  <si>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</si>
  <si>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</si>
  <si>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</si>
  <si>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</si>
  <si>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</si>
  <si>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</si>
  <si>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</si>
  <si>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</si>
  <si>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</si>
  <si>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</si>
  <si>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</si>
  <si>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</si>
  <si>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</si>
  <si>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</si>
  <si>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</si>
  <si>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</si>
  <si>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</si>
  <si>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</si>
  <si>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</si>
  <si>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</si>
  <si>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</si>
  <si>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</si>
  <si>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</si>
  <si>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</si>
  <si>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</si>
  <si>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</si>
  <si>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</si>
  <si>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</si>
  <si>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</si>
  <si>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</si>
  <si>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</si>
  <si>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</si>
  <si>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</si>
  <si>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</si>
  <si>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</si>
  <si>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</si>
  <si>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</si>
  <si>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</si>
  <si>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</si>
  <si>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</si>
  <si>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</si>
  <si>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</si>
  <si>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</si>
  <si>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</si>
  <si>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</si>
  <si>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</si>
  <si>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</si>
  <si>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</si>
  <si>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</si>
  <si>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</si>
  <si>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</si>
  <si>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</si>
  <si>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</si>
  <si>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</si>
  <si>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</si>
  <si>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</si>
  <si>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</si>
  <si>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</si>
  <si>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</si>
  <si>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</si>
  <si>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</si>
  <si>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</si>
  <si>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</si>
  <si>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</si>
  <si>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</si>
  <si>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</si>
  <si>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</si>
  <si>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</si>
  <si>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</si>
  <si>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</si>
  <si>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</si>
  <si>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</si>
  <si>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</si>
  <si>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</si>
  <si>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</si>
  <si>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</si>
  <si>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</si>
  <si>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</si>
  <si>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</si>
  <si>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</si>
  <si>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</si>
  <si>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</si>
  <si>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</si>
  <si>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</si>
  <si>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</si>
  <si>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</si>
  <si>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</si>
  <si>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</si>
  <si>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</si>
  <si>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</si>
  <si>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</si>
  <si>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</si>
  <si>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</si>
  <si>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</si>
  <si>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</si>
  <si>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</si>
  <si>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</si>
  <si>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</si>
  <si>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</si>
  <si>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</si>
  <si>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</si>
  <si>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</si>
  <si>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</si>
  <si>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</si>
  <si>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</si>
  <si>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</si>
  <si>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</si>
  <si>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</si>
  <si>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</si>
  <si>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</si>
  <si>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</si>
  <si>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</si>
  <si>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</si>
  <si>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</si>
  <si>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</si>
  <si>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</si>
  <si>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</si>
  <si>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</si>
  <si>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</si>
  <si>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</si>
  <si>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</si>
  <si>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</si>
  <si>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</si>
  <si>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</si>
  <si>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</si>
  <si>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</si>
  <si>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</si>
  <si>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</si>
  <si>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</si>
  <si>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</si>
  <si>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</si>
  <si>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</si>
  <si>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</si>
  <si>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</si>
  <si>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</si>
  <si>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</si>
  <si>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</si>
  <si>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</si>
  <si>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</si>
  <si>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</si>
  <si>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</si>
  <si>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</si>
  <si>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</si>
  <si>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</si>
  <si>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</si>
  <si>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</si>
  <si>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</si>
  <si>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</si>
  <si>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</si>
  <si>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</si>
  <si>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</si>
  <si>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</si>
  <si>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</si>
  <si>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</si>
  <si>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</si>
  <si>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</si>
  <si>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</si>
  <si>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</si>
  <si>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</si>
  <si>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</si>
  <si>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</si>
  <si>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</si>
  <si>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</si>
  <si>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</si>
  <si>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</si>
  <si>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</si>
  <si>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</si>
  <si>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</si>
  <si>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</si>
  <si>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</si>
  <si>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</si>
  <si>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</si>
  <si>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</si>
  <si>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</si>
  <si>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</si>
  <si>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</si>
  <si>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</si>
  <si>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</si>
  <si>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</si>
  <si>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</si>
  <si>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</si>
  <si>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</si>
  <si>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</si>
  <si>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</si>
  <si>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</si>
  <si>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</si>
  <si>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</si>
  <si>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</si>
  <si>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</si>
  <si>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</si>
  <si>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</si>
  <si>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</si>
  <si>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</si>
  <si>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</si>
  <si>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</si>
  <si>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</si>
  <si>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</si>
  <si>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</si>
  <si>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</si>
  <si>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</si>
  <si>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</si>
  <si>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</si>
  <si>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</si>
  <si>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</si>
  <si>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</si>
  <si>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</si>
  <si>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</si>
  <si>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</si>
  <si>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</si>
  <si>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</si>
  <si>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</si>
  <si>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</si>
  <si>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</si>
  <si>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</si>
  <si>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</si>
  <si>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</si>
  <si>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</si>
  <si>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</si>
  <si>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</si>
  <si>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</si>
  <si>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</si>
  <si>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</si>
  <si>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</si>
  <si>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</si>
  <si>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</si>
  <si>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</si>
  <si>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</si>
  <si>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</si>
  <si>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</si>
  <si>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</si>
  <si>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</si>
  <si>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</si>
  <si>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</si>
  <si>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</si>
  <si>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</si>
  <si>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</si>
  <si>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</si>
  <si>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</si>
  <si>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</si>
  <si>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</si>
  <si>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</si>
  <si>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</si>
  <si>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</si>
  <si>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</si>
  <si>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</si>
  <si>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</si>
  <si>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</si>
  <si>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</si>
  <si>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</si>
  <si>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</si>
  <si>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</si>
  <si>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</si>
  <si>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</si>
  <si>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</si>
  <si>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</si>
  <si>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</si>
  <si>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</si>
  <si>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</si>
  <si>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</si>
  <si>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</si>
  <si>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</si>
  <si>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</si>
  <si>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</si>
  <si>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</si>
  <si>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</si>
  <si>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</si>
  <si>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</si>
  <si>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</si>
  <si>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</si>
  <si>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</si>
  <si>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</si>
  <si>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</si>
  <si>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</si>
  <si>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</si>
  <si>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</si>
  <si>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</si>
  <si>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</si>
  <si>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</si>
  <si>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</si>
  <si>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</si>
  <si>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</si>
  <si>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</si>
  <si>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</si>
  <si>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</si>
  <si>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</si>
  <si>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</si>
  <si>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</si>
  <si>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</si>
  <si>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</si>
  <si>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</si>
  <si>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</si>
  <si>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</si>
  <si>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</si>
  <si>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</si>
  <si>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</si>
  <si>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</si>
  <si>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</si>
  <si>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</si>
  <si>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</si>
  <si>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</si>
  <si>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</si>
  <si>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</si>
  <si>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</si>
  <si>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</si>
  <si>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</si>
  <si>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</si>
  <si>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</si>
  <si>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</si>
  <si>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</si>
  <si>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</si>
  <si>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</si>
  <si>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</si>
  <si>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</si>
  <si>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</si>
  <si>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</si>
  <si>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</si>
  <si>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</si>
  <si>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</si>
  <si>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</si>
  <si>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</si>
  <si>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</si>
  <si>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</si>
  <si>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</si>
  <si>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</si>
  <si>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</si>
  <si>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</si>
  <si>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</si>
  <si>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</si>
  <si>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</si>
  <si>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</si>
  <si>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</si>
  <si>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</si>
  <si>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</si>
  <si>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</si>
  <si>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</si>
  <si>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</si>
  <si>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</si>
  <si>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</si>
  <si>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</si>
  <si>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</si>
  <si>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</si>
  <si>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</si>
  <si>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</si>
  <si>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</si>
  <si>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</si>
  <si>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</si>
  <si>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</si>
  <si>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</si>
  <si>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</si>
  <si>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</si>
  <si>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</si>
  <si>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</si>
  <si>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</si>
  <si>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</si>
  <si>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</si>
  <si>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</si>
  <si>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</si>
  <si>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</si>
  <si>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</si>
  <si>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</si>
  <si>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</si>
  <si>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</si>
  <si>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</si>
  <si>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</si>
  <si>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</si>
  <si>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</si>
  <si>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</si>
  <si>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</si>
  <si>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</si>
  <si>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</si>
  <si>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</si>
  <si>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</si>
  <si>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</si>
  <si>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</si>
  <si>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</si>
  <si>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</si>
  <si>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</si>
  <si>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</si>
  <si>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</si>
  <si>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</si>
  <si>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</si>
  <si>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</si>
  <si>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</si>
  <si>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</si>
  <si>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</si>
  <si>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</si>
  <si>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</si>
  <si>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</si>
  <si>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</si>
  <si>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</si>
  <si>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</si>
  <si>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</si>
  <si>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</si>
  <si>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</si>
  <si>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</si>
  <si>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</si>
  <si>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</si>
  <si>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</si>
  <si>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</si>
  <si>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</si>
  <si>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</si>
  <si>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</si>
  <si>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</si>
  <si>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</si>
  <si>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</si>
  <si>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</si>
  <si>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</si>
  <si>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</si>
  <si>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</si>
  <si>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</si>
  <si>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</si>
  <si>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</si>
  <si>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</si>
  <si>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</si>
  <si>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</si>
  <si>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</si>
  <si>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</si>
  <si>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</si>
  <si>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</si>
  <si>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</si>
  <si>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</si>
  <si>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</si>
  <si>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</si>
  <si>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</si>
  <si>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</si>
  <si>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</si>
  <si>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</si>
  <si>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</si>
  <si>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</si>
  <si>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</si>
  <si>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</si>
  <si>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</si>
  <si>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</si>
  <si>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</si>
  <si>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</si>
  <si>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</si>
  <si>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</si>
  <si>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</si>
  <si>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</si>
  <si>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</si>
  <si>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</si>
  <si>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</si>
  <si>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</si>
  <si>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</si>
  <si>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</si>
  <si>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</si>
  <si>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</si>
  <si>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</si>
  <si>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</si>
  <si>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</si>
  <si>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</si>
  <si>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</si>
  <si>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</si>
  <si>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</si>
  <si>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</si>
  <si>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</si>
  <si>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</si>
  <si>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</si>
  <si>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</si>
  <si>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</si>
  <si>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</si>
  <si>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</si>
  <si>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</si>
  <si>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</si>
  <si>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</si>
  <si>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</si>
  <si>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</si>
  <si>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</si>
  <si>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</si>
  <si>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</si>
  <si>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</si>
  <si>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</si>
  <si>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</si>
  <si>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</si>
  <si>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</si>
  <si>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</si>
  <si>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</si>
  <si>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</si>
  <si>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</si>
  <si>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</si>
  <si>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</si>
  <si>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</si>
  <si>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</si>
  <si>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</si>
  <si>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</si>
  <si>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</si>
  <si>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</si>
  <si>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</si>
  <si>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</si>
  <si>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</si>
  <si>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</si>
  <si>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</si>
  <si>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</si>
  <si>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</si>
  <si>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</si>
  <si>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</si>
  <si>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</si>
  <si>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</si>
  <si>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</si>
  <si>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</si>
  <si>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</si>
  <si>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</si>
  <si>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</si>
  <si>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</si>
  <si>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</si>
  <si>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</si>
  <si>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</si>
  <si>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</si>
  <si>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</si>
  <si>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</si>
  <si>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</si>
  <si>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</si>
  <si>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</si>
  <si>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</si>
  <si>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</si>
  <si>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</si>
  <si>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</si>
  <si>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</si>
  <si>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</si>
  <si>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</si>
  <si>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</si>
  <si>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</si>
  <si>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</si>
  <si>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</si>
  <si>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</si>
  <si>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</si>
  <si>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</si>
  <si>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</si>
  <si>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</si>
  <si>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</si>
  <si>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</si>
  <si>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</si>
  <si>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</si>
  <si>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</si>
  <si>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</si>
  <si>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</si>
  <si>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</si>
  <si>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</si>
  <si>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</si>
  <si>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</si>
  <si>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</si>
  <si>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</si>
  <si>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</si>
  <si>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</si>
  <si>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</si>
  <si>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</si>
  <si>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</si>
  <si>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</si>
  <si>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</si>
  <si>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</si>
  <si>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</si>
  <si>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</si>
  <si>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</si>
  <si>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</si>
  <si>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</si>
  <si>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</si>
  <si>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</si>
  <si>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</si>
  <si>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</si>
  <si>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</si>
  <si>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</si>
  <si>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</si>
  <si>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</si>
  <si>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</si>
  <si>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</si>
  <si>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</si>
  <si>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</si>
  <si>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</si>
  <si>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</si>
  <si>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</si>
  <si>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</si>
  <si>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</si>
  <si>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</si>
  <si>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</si>
  <si>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</si>
  <si>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</si>
  <si>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</si>
  <si>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</si>
  <si>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</si>
  <si>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</si>
  <si>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</si>
  <si>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</si>
  <si>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</si>
  <si>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</si>
  <si>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</si>
  <si>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</si>
  <si>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</si>
  <si>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</si>
  <si>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</si>
  <si>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</si>
  <si>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</si>
  <si>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</si>
  <si>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</si>
  <si>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</si>
  <si>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</si>
  <si>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</si>
  <si>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</si>
  <si>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</si>
  <si>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</si>
  <si>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</si>
  <si>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</si>
  <si>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</si>
  <si>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</si>
  <si>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</si>
  <si>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</si>
  <si>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</si>
  <si>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</si>
  <si>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</si>
  <si>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</si>
  <si>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</si>
  <si>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</si>
  <si>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</si>
  <si>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</si>
  <si>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</si>
  <si>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</si>
  <si>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</si>
  <si>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</si>
  <si>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</si>
  <si>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</si>
  <si>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</si>
  <si>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</si>
  <si>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</si>
  <si>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</si>
  <si>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</si>
  <si>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</si>
  <si>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</si>
  <si>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</si>
  <si>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</si>
  <si>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</si>
  <si>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</si>
  <si>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</si>
  <si>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</si>
  <si>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</si>
  <si>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</si>
  <si>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</si>
  <si>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</si>
  <si>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</si>
  <si>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</si>
  <si>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</si>
  <si>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</si>
  <si>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</si>
  <si>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</si>
  <si>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</si>
  <si>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</si>
  <si>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</si>
  <si>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</si>
  <si>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</si>
  <si>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</si>
  <si>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</si>
  <si>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</si>
  <si>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</si>
  <si>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</si>
  <si>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</si>
  <si>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</si>
  <si>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</si>
  <si>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</si>
  <si>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</si>
  <si>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</si>
  <si>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</si>
  <si>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</si>
  <si>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</si>
  <si>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</si>
  <si>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</si>
  <si>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</si>
  <si>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</si>
  <si>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</si>
  <si>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</si>
  <si>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</si>
  <si>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</si>
  <si>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</si>
  <si>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</si>
  <si>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</si>
  <si>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</si>
  <si>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</si>
  <si>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</si>
  <si>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</si>
  <si>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</si>
  <si>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</si>
  <si>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</si>
  <si>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</si>
  <si>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</si>
  <si>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</si>
  <si>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</si>
  <si>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</si>
  <si>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</si>
  <si>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</si>
  <si>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</si>
  <si>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</si>
  <si>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</si>
  <si>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</si>
  <si>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</si>
  <si>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</si>
  <si>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</si>
  <si>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</si>
  <si>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</si>
  <si>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</si>
  <si>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</si>
  <si>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</si>
  <si>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</si>
  <si>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</si>
  <si>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</si>
  <si>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</si>
  <si>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</si>
  <si>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</si>
  <si>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</si>
  <si>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</si>
  <si>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</si>
  <si>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</si>
  <si>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</si>
  <si>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</si>
  <si>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</si>
  <si>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</si>
  <si>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</si>
  <si>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</si>
  <si>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</si>
  <si>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</si>
  <si>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</si>
  <si>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</si>
  <si>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</si>
  <si>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</si>
  <si>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</si>
  <si>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</si>
  <si>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</si>
  <si>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</si>
  <si>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</si>
  <si>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</si>
  <si>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</si>
  <si>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</si>
  <si>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</si>
  <si>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</si>
  <si>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</si>
  <si>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</si>
  <si>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</si>
  <si>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</si>
  <si>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</si>
  <si>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</si>
  <si>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</si>
  <si>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</si>
  <si>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</si>
  <si>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</si>
  <si>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</si>
  <si>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</si>
  <si>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</si>
  <si>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</si>
  <si>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</si>
  <si>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</si>
  <si>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</si>
  <si>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</si>
  <si>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</si>
  <si>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</si>
  <si>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</si>
  <si>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</si>
  <si>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</si>
  <si>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</si>
  <si>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</si>
  <si>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</si>
  <si>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</si>
  <si>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</si>
  <si>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</si>
  <si>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</si>
  <si>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</si>
  <si>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</si>
  <si>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</si>
  <si>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</si>
  <si>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</si>
  <si>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</si>
  <si>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</si>
  <si>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</si>
  <si>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</si>
  <si>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</si>
  <si>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</si>
  <si>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</si>
  <si>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</si>
  <si>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</si>
  <si>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</si>
  <si>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</si>
  <si>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</si>
  <si>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</si>
  <si>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</si>
  <si>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</si>
  <si>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</si>
  <si>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</si>
  <si>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</si>
  <si>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</si>
  <si>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</si>
  <si>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</si>
  <si>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</si>
  <si>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</si>
  <si>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</si>
  <si>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</si>
  <si>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</si>
  <si>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</si>
  <si>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</si>
  <si>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</si>
  <si>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</si>
  <si>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</si>
  <si>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</si>
  <si>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</si>
  <si>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</si>
  <si>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</si>
  <si>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</si>
  <si>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</si>
  <si>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</si>
  <si>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</si>
  <si>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</si>
  <si>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</si>
  <si>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</si>
  <si>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</si>
  <si>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</si>
  <si>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</si>
  <si>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</si>
  <si>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</si>
  <si>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</si>
  <si>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</si>
  <si>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</si>
  <si>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</si>
  <si>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</si>
  <si>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</si>
  <si>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</si>
  <si>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</si>
  <si>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</si>
  <si>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</si>
  <si>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</si>
  <si>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</si>
  <si>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</si>
  <si>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</si>
  <si>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</si>
  <si>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</si>
  <si>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</si>
  <si>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</si>
  <si>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</si>
  <si>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</si>
  <si>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</si>
  <si>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</si>
  <si>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</si>
  <si>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</si>
  <si>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</si>
  <si>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</si>
  <si>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</si>
  <si>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</si>
  <si>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</si>
  <si>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</si>
  <si>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</si>
  <si>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</si>
  <si>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</si>
  <si>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</si>
  <si>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</si>
  <si>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</si>
  <si>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</si>
  <si>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</si>
  <si>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</si>
  <si>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</si>
  <si>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</si>
  <si>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</si>
  <si>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</si>
  <si>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</si>
  <si>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</si>
  <si>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</si>
  <si>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</si>
  <si>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</si>
  <si>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</si>
  <si>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</si>
  <si>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</si>
  <si>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</si>
  <si>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</si>
  <si>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</si>
  <si>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</si>
  <si>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</si>
  <si>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</si>
  <si>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</si>
  <si>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</si>
  <si>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</si>
  <si>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</si>
  <si>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</si>
  <si>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</si>
  <si>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</si>
  <si>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</si>
  <si>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</si>
  <si>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</si>
  <si>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</si>
  <si>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</si>
  <si>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</si>
  <si>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</si>
  <si>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</si>
  <si>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</si>
  <si>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</si>
  <si>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</si>
  <si>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</si>
  <si>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</si>
  <si>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</si>
  <si>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</si>
  <si>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</si>
  <si>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</si>
  <si>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</si>
  <si>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</si>
  <si>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</si>
  <si>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</si>
  <si>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</si>
  <si>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</si>
  <si>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</si>
  <si>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</si>
  <si>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</si>
  <si>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</si>
  <si>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</si>
  <si>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</si>
  <si>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</si>
  <si>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</si>
  <si>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</si>
  <si>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</si>
  <si>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</si>
  <si>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</si>
  <si>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</si>
  <si>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</si>
  <si>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</si>
  <si>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</si>
  <si>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</si>
  <si>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</si>
  <si>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</si>
  <si>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</si>
  <si>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</si>
  <si>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</si>
  <si>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</si>
  <si>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</si>
  <si>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</si>
  <si>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</si>
  <si>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</si>
  <si>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</si>
  <si>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</si>
  <si>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</si>
  <si>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</si>
  <si>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</si>
  <si>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</si>
  <si>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</si>
  <si>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</si>
  <si>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</si>
  <si>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</si>
  <si>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</si>
  <si>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</si>
  <si>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</si>
  <si>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</si>
  <si>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</si>
  <si>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</si>
  <si>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</si>
  <si>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</si>
  <si>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</si>
  <si>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</si>
  <si>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</si>
  <si>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</si>
  <si>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</si>
  <si>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</si>
  <si>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</si>
  <si>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</si>
  <si>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</si>
  <si>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</si>
  <si>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</si>
  <si>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</si>
  <si>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</si>
  <si>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</si>
  <si>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</si>
  <si>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</si>
  <si>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</si>
  <si>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</si>
  <si>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</si>
  <si>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</si>
  <si>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</si>
  <si>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</si>
  <si>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</si>
  <si>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</si>
  <si>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</si>
  <si>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</si>
  <si>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</si>
  <si>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</si>
  <si>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</si>
  <si>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</si>
  <si>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</si>
  <si>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</si>
  <si>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</si>
  <si>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</si>
  <si>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</si>
  <si>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</si>
  <si>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</si>
  <si>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</si>
  <si>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</si>
  <si>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</si>
  <si>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</si>
  <si>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</si>
  <si>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</si>
  <si>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</si>
  <si>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</si>
  <si>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</si>
  <si>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</si>
  <si>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</si>
  <si>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</si>
  <si>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</si>
  <si>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</si>
  <si>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</si>
  <si>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</si>
  <si>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</si>
  <si>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</si>
  <si>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</si>
  <si>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</si>
  <si>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</si>
  <si>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</si>
  <si>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</si>
  <si>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</si>
  <si>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</si>
  <si>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</si>
  <si>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</si>
  <si>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</si>
  <si>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</si>
  <si>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</si>
  <si>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</si>
  <si>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</si>
  <si>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</si>
  <si>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</si>
  <si>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</si>
  <si>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</si>
  <si>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</si>
  <si>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</si>
  <si>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</si>
  <si>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</si>
  <si>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</si>
  <si>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</si>
  <si>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</si>
  <si>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</si>
  <si>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</si>
  <si>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</si>
  <si>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</si>
  <si>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</si>
  <si>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</si>
  <si>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</si>
  <si>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</si>
  <si>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</si>
  <si>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</si>
  <si>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</si>
  <si>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</si>
  <si>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</si>
  <si>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</si>
  <si>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</si>
  <si>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</si>
  <si>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</si>
  <si>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</si>
  <si>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</si>
  <si>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</si>
  <si>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</si>
  <si>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</si>
  <si>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</si>
  <si>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</si>
  <si>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</si>
  <si>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</si>
  <si>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</si>
  <si>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</si>
  <si>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</si>
  <si>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</si>
  <si>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</si>
  <si>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</si>
  <si>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</si>
  <si>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</si>
  <si>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</si>
  <si>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</si>
  <si>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</si>
  <si>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</si>
  <si>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</si>
  <si>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</si>
  <si>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</si>
  <si>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</si>
  <si>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</si>
  <si>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</si>
  <si>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</si>
  <si>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</si>
  <si>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</si>
  <si>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</si>
  <si>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</si>
  <si>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</si>
  <si>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</si>
  <si>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</si>
  <si>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</si>
  <si>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</si>
  <si>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</si>
  <si>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</si>
  <si>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</si>
  <si>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</si>
  <si>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</si>
  <si>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</si>
  <si>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</si>
  <si>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</si>
  <si>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</si>
  <si>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</si>
  <si>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</si>
  <si>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</si>
  <si>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</si>
  <si>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</si>
  <si>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</si>
  <si>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</si>
  <si>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</si>
  <si>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</si>
  <si>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</si>
  <si>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</si>
  <si>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</si>
  <si>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</si>
  <si>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</si>
  <si>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</si>
  <si>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</si>
  <si>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</si>
  <si>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</si>
  <si>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</si>
  <si>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</si>
  <si>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</si>
  <si>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</si>
  <si>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</si>
  <si>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</si>
  <si>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</si>
  <si>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</si>
  <si>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</si>
  <si>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</si>
  <si>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</si>
  <si>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</si>
  <si>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</si>
  <si>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</si>
  <si>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</si>
  <si>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</si>
  <si>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</si>
  <si>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</si>
  <si>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</si>
  <si>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</si>
  <si>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</si>
  <si>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</si>
  <si>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</si>
  <si>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</si>
  <si>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</si>
  <si>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</si>
  <si>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</si>
  <si>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</si>
  <si>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</si>
  <si>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</si>
  <si>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</si>
  <si>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</si>
  <si>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</si>
  <si>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</si>
  <si>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</si>
  <si>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</si>
  <si>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</si>
  <si>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</si>
  <si>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</si>
  <si>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</si>
  <si>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</si>
  <si>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</si>
  <si>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</si>
  <si>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</si>
  <si>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</si>
  <si>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</si>
  <si>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</si>
  <si>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</si>
  <si>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</si>
  <si>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</si>
  <si>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</si>
  <si>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</si>
  <si>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</si>
  <si>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</si>
  <si>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</si>
  <si>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</si>
  <si>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</si>
  <si>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</si>
  <si>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</si>
  <si>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</si>
  <si>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</si>
  <si>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</si>
  <si>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</si>
  <si>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</si>
  <si>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</si>
  <si>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</si>
  <si>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</si>
  <si>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</si>
  <si>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</si>
  <si>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</si>
  <si>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</si>
  <si>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</si>
  <si>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</si>
  <si>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</si>
  <si>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</si>
  <si>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</si>
  <si>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</si>
  <si>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</si>
  <si>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</si>
  <si>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</si>
  <si>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</si>
  <si>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</si>
  <si>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</si>
  <si>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</si>
  <si>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</si>
  <si>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</si>
  <si>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</si>
  <si>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</si>
  <si>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</si>
  <si>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</si>
  <si>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</si>
  <si>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</si>
  <si>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</si>
  <si>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</si>
  <si>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</si>
  <si>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</si>
  <si>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</si>
  <si>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</si>
  <si>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</si>
  <si>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</si>
  <si>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</si>
  <si>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</si>
  <si>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</si>
  <si>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</si>
  <si>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</si>
  <si>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</si>
  <si>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</si>
  <si>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</si>
  <si>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</si>
  <si>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</si>
  <si>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</si>
  <si>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</si>
  <si>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</si>
  <si>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</si>
  <si>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</si>
  <si>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</si>
  <si>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</si>
  <si>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</si>
  <si>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</si>
  <si>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</si>
  <si>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</si>
  <si>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</si>
  <si>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</si>
  <si>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</si>
  <si>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</si>
  <si>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</si>
  <si>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</si>
  <si>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</si>
  <si>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</si>
  <si>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</si>
  <si>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</si>
  <si>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</si>
  <si>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</si>
  <si>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</si>
  <si>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</si>
  <si>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</si>
  <si>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</si>
  <si>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</si>
  <si>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</si>
  <si>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</si>
  <si>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</si>
  <si>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</si>
  <si>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</si>
  <si>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</si>
  <si>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</si>
  <si>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</si>
  <si>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</si>
  <si>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</si>
  <si>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</si>
  <si>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</si>
  <si>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</si>
  <si>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</si>
  <si>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</si>
  <si>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</si>
  <si>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</si>
  <si>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</si>
  <si>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</si>
  <si>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</si>
  <si>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</si>
  <si>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</si>
  <si>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</si>
  <si>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</si>
  <si>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</si>
  <si>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</si>
  <si>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</si>
  <si>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</si>
  <si>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</si>
  <si>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</si>
  <si>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</si>
  <si>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</si>
  <si>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</si>
  <si>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</si>
  <si>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</si>
  <si>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</si>
  <si>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</si>
  <si>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</si>
  <si>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</si>
  <si>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</si>
  <si>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</si>
  <si>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</si>
  <si>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</si>
  <si>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</si>
  <si>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</si>
  <si>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</si>
  <si>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</si>
  <si>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</si>
  <si>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</si>
  <si>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</si>
  <si>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</si>
  <si>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</si>
  <si>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</si>
  <si>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</si>
  <si>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</si>
  <si>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</si>
  <si>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</si>
  <si>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</si>
  <si>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</si>
  <si>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</si>
  <si>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</si>
  <si>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</si>
  <si>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</si>
  <si>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</si>
  <si>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</si>
  <si>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</si>
  <si>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</si>
  <si>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</si>
  <si>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</si>
  <si>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</si>
  <si>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</si>
  <si>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</si>
  <si>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</si>
  <si>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</si>
  <si>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</si>
  <si>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</si>
  <si>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</si>
  <si>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</si>
  <si>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</si>
  <si>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</si>
  <si>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</si>
  <si>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</si>
  <si>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</si>
  <si>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</si>
  <si>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</si>
  <si>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</si>
  <si>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</si>
  <si>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</si>
  <si>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</si>
  <si>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</si>
  <si>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</si>
  <si>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</si>
  <si>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</si>
  <si>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</si>
  <si>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</si>
  <si>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</si>
  <si>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</si>
  <si>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</si>
  <si>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</si>
  <si>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</si>
  <si>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</si>
  <si>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</si>
  <si>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</si>
  <si>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</si>
  <si>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</si>
  <si>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</si>
  <si>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</si>
  <si>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</si>
  <si>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</si>
  <si>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</si>
  <si>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</si>
  <si>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</si>
  <si>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</si>
  <si>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</si>
  <si>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</si>
  <si>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</si>
  <si>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</si>
  <si>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</si>
  <si>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</si>
  <si>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</si>
  <si>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</si>
  <si>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</si>
  <si>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</si>
  <si>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</si>
  <si>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</si>
  <si>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</si>
  <si>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</si>
  <si>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</si>
  <si>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</si>
  <si>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</si>
  <si>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</si>
  <si>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</si>
  <si>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</si>
  <si>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</si>
  <si>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</si>
  <si>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</si>
  <si>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</si>
  <si>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</si>
  <si>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</si>
  <si>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</si>
  <si>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</si>
  <si>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</si>
  <si>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</si>
  <si>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</si>
  <si>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</si>
  <si>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</si>
  <si>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</si>
  <si>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</si>
  <si>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</si>
  <si>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</si>
  <si>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</si>
  <si>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</si>
  <si>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</si>
  <si>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</si>
  <si>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</si>
  <si>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</si>
  <si>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</si>
  <si>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</si>
  <si>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</si>
  <si>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</si>
  <si>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</si>
  <si>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</si>
  <si>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</si>
  <si>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</si>
  <si>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</si>
  <si>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</si>
  <si>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</si>
  <si>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</si>
  <si>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</si>
  <si>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</si>
  <si>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</si>
  <si>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</si>
  <si>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</si>
  <si>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</si>
  <si>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</si>
  <si>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</si>
  <si>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</si>
  <si>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</si>
  <si>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</si>
  <si>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</si>
  <si>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</si>
  <si>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</si>
  <si>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</si>
  <si>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</si>
  <si>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</si>
  <si>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</si>
  <si>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</si>
  <si>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</si>
  <si>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</si>
  <si>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</si>
  <si>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</si>
  <si>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</si>
  <si>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</si>
  <si>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</si>
  <si>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</si>
  <si>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</si>
  <si>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</si>
  <si>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</si>
  <si>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</si>
  <si>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</si>
  <si>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</si>
  <si>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</si>
  <si>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</si>
  <si>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</si>
  <si>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</si>
  <si>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</si>
  <si>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</si>
  <si>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</si>
  <si>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</si>
  <si>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</si>
  <si>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</si>
  <si>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</si>
  <si>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</si>
  <si>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</si>
  <si>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</si>
  <si>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</si>
  <si>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</si>
  <si>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</si>
  <si>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</si>
  <si>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</si>
  <si>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</si>
  <si>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</si>
  <si>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</si>
  <si>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</si>
  <si>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</si>
  <si>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</si>
  <si>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</si>
  <si>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</si>
  <si>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</si>
  <si>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</si>
  <si>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</si>
  <si>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</si>
  <si>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</si>
  <si>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</si>
  <si>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</si>
  <si>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</si>
  <si>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</si>
  <si>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</si>
  <si>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</si>
  <si>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</si>
  <si>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</si>
  <si>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</si>
  <si>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</si>
  <si>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</si>
  <si>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</si>
  <si>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</si>
  <si>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</si>
  <si>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</si>
  <si>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</si>
  <si>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</si>
  <si>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</si>
  <si>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</si>
  <si>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</si>
  <si>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</si>
  <si>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</si>
  <si>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</si>
  <si>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</si>
  <si>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</si>
  <si>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</si>
  <si>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</si>
  <si>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</si>
  <si>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</si>
  <si>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</si>
  <si>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</si>
  <si>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</si>
  <si>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</si>
  <si>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</si>
  <si>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</si>
  <si>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</si>
  <si>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</si>
  <si>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</si>
  <si>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</si>
  <si>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</si>
  <si>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</si>
  <si>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</si>
  <si>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</si>
  <si>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</si>
  <si>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</si>
  <si>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</si>
  <si>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</si>
  <si>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</si>
  <si>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</si>
  <si>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</si>
  <si>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</si>
  <si>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</si>
  <si>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</si>
  <si>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</si>
  <si>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</si>
  <si>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</si>
  <si>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</si>
  <si>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</si>
  <si>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</si>
  <si>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</si>
  <si>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</si>
  <si>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</si>
  <si>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</si>
  <si>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</si>
  <si>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</si>
  <si>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</si>
  <si>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</si>
  <si>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</si>
  <si>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</si>
  <si>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</si>
  <si>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</si>
  <si>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</si>
  <si>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</si>
  <si>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</si>
  <si>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</si>
  <si>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</si>
  <si>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</si>
  <si>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</si>
  <si>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</si>
  <si>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</si>
  <si>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</si>
  <si>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</si>
  <si>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</si>
  <si>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</si>
  <si>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</si>
  <si>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</si>
  <si>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</si>
  <si>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</si>
  <si>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</si>
  <si>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</si>
  <si>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</si>
  <si>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</si>
  <si>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</si>
  <si>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</si>
  <si>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</si>
  <si>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</si>
  <si>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</si>
  <si>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</si>
  <si>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</si>
  <si>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</si>
  <si>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</si>
  <si>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</si>
  <si>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</si>
  <si>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</si>
  <si>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</si>
  <si>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</si>
  <si>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</si>
  <si>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</si>
  <si>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</si>
  <si>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</si>
  <si>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</si>
  <si>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</si>
  <si>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</si>
  <si>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</si>
  <si>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</si>
  <si>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</si>
  <si>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</si>
  <si>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</si>
  <si>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</si>
  <si>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</si>
  <si>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</si>
  <si>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</si>
  <si>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</si>
  <si>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</si>
  <si>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</si>
  <si>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</si>
  <si>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</si>
  <si>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</si>
  <si>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</si>
  <si>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</si>
  <si>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</si>
  <si>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</si>
  <si>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</si>
  <si>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</si>
  <si>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</si>
  <si>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</si>
  <si>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</si>
  <si>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</si>
  <si>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</si>
  <si>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</si>
  <si>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</si>
  <si>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</si>
  <si>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</si>
  <si>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</si>
  <si>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</si>
  <si>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</si>
  <si>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</si>
  <si>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</si>
  <si>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</si>
  <si>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</si>
  <si>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</si>
  <si>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</si>
  <si>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</si>
  <si>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</si>
  <si>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</si>
  <si>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</si>
  <si>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</si>
  <si>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</si>
  <si>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</si>
  <si>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</si>
  <si>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</si>
  <si>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</si>
  <si>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</si>
  <si>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</si>
  <si>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</si>
  <si>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</si>
  <si>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</si>
  <si>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</si>
  <si>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</si>
  <si>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</si>
  <si>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</si>
  <si>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</si>
  <si>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</si>
  <si>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</si>
  <si>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</si>
  <si>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</si>
  <si>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</si>
  <si>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</si>
  <si>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</si>
  <si>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</si>
  <si>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</si>
  <si>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</si>
  <si>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</si>
  <si>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</si>
  <si>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</si>
  <si>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</si>
  <si>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</si>
  <si>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</si>
  <si>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</si>
  <si>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</si>
  <si>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</si>
  <si>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</si>
  <si>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</si>
  <si>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</si>
  <si>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</si>
  <si>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</si>
  <si>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</si>
  <si>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</si>
  <si>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</si>
  <si>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</si>
  <si>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</si>
  <si>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</si>
  <si>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</si>
  <si>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</si>
  <si>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</si>
  <si>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</si>
  <si>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</si>
  <si>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</si>
  <si>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</si>
  <si>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</si>
  <si>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</si>
  <si>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</si>
  <si>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</si>
  <si>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</si>
  <si>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</si>
  <si>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</si>
  <si>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</si>
  <si>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</si>
  <si>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</si>
  <si>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</si>
  <si>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</si>
  <si>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</si>
  <si>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</si>
  <si>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</si>
  <si>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</si>
  <si>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</si>
  <si>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</si>
  <si>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</si>
  <si>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</si>
  <si>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</si>
  <si>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</si>
  <si>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</si>
  <si>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</si>
  <si>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</si>
  <si>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</si>
  <si>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</si>
  <si>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</si>
  <si>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</si>
  <si>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</si>
  <si>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</si>
  <si>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</si>
  <si>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</si>
  <si>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</si>
  <si>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</si>
  <si>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</si>
  <si>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</si>
  <si>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</si>
  <si>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</si>
  <si>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</si>
  <si>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</si>
  <si>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</si>
  <si>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</si>
  <si>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</si>
  <si>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</si>
  <si>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</si>
  <si>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</si>
  <si>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</si>
  <si>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</si>
  <si>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</si>
  <si>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</si>
  <si>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</si>
  <si>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</si>
  <si>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</si>
  <si>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</si>
  <si>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</si>
  <si>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</si>
  <si>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</si>
  <si>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</si>
  <si>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</si>
  <si>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</si>
  <si>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</si>
  <si>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</si>
  <si>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</si>
  <si>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</si>
  <si>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</si>
  <si>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</si>
  <si>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</si>
  <si>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</si>
  <si>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</si>
  <si>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</si>
  <si>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</si>
  <si>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</si>
  <si>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</si>
  <si>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</si>
  <si>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</si>
  <si>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</si>
  <si>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</si>
  <si>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</si>
  <si>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</si>
  <si>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</si>
  <si>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</si>
  <si>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</si>
  <si>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</si>
  <si>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</si>
  <si>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</si>
  <si>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</si>
  <si>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</si>
  <si>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</si>
  <si>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</si>
  <si>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</si>
  <si>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</si>
  <si>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</si>
  <si>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</si>
  <si>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</si>
  <si>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</si>
  <si>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</si>
  <si>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</si>
  <si>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</si>
  <si>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</si>
  <si>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</si>
  <si>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</si>
  <si>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</si>
  <si>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</si>
  <si>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</si>
  <si>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</si>
  <si>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</si>
  <si>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</si>
  <si>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</si>
  <si>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</si>
  <si>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</si>
  <si>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</si>
  <si>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</si>
  <si>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</si>
  <si>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</si>
  <si>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</si>
  <si>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</si>
  <si>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</si>
  <si>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</si>
  <si>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</si>
  <si>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</si>
  <si>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</si>
  <si>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</si>
  <si>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</si>
  <si>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</si>
  <si>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</si>
  <si>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</si>
  <si>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</si>
  <si>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</si>
  <si>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</si>
  <si>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</si>
  <si>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</si>
  <si>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</si>
  <si>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</si>
  <si>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</si>
  <si>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</si>
  <si>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</si>
  <si>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</si>
  <si>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</si>
  <si>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</si>
  <si>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</si>
  <si>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</si>
  <si>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</si>
  <si>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</si>
  <si>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</si>
  <si>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</si>
  <si>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</si>
  <si>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</si>
  <si>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</si>
  <si>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</si>
  <si>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</si>
  <si>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</si>
  <si>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</si>
  <si>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</si>
  <si>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</si>
  <si>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</si>
  <si>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</si>
  <si>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</si>
  <si>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</si>
  <si>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</si>
  <si>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</si>
  <si>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</si>
  <si>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</si>
  <si>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</si>
  <si>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</si>
  <si>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</si>
  <si>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</si>
  <si>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</si>
  <si>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</si>
  <si>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</si>
  <si>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</si>
  <si>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</si>
  <si>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</si>
  <si>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</si>
  <si>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</si>
  <si>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</si>
  <si>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</si>
  <si>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</si>
  <si>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</si>
  <si>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</si>
  <si>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</si>
  <si>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</si>
  <si>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</si>
  <si>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</si>
  <si>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</si>
  <si>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</si>
  <si>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</si>
  <si>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</si>
  <si>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</si>
  <si>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</si>
  <si>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</si>
  <si>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</si>
  <si>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</si>
  <si>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</si>
  <si>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</si>
  <si>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</si>
  <si>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</si>
  <si>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</si>
  <si>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</si>
  <si>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</si>
  <si>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</si>
  <si>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</si>
  <si>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</si>
  <si>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</si>
  <si>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</si>
  <si>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</si>
  <si>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</si>
  <si>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</si>
  <si>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</si>
  <si>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</si>
  <si>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</si>
  <si>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</si>
  <si>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</si>
  <si>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</si>
  <si>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</si>
  <si>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</si>
  <si>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</si>
  <si>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</si>
  <si>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</si>
  <si>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</si>
  <si>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</si>
  <si>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</si>
  <si>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</si>
  <si>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</si>
  <si>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</si>
  <si>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</si>
  <si>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</si>
  <si>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</si>
  <si>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</si>
  <si>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</si>
  <si>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</si>
  <si>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</si>
  <si>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</si>
  <si>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</si>
  <si>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</si>
  <si>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</si>
  <si>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</si>
  <si>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</si>
  <si>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</si>
  <si>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</si>
  <si>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</si>
  <si>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</si>
  <si>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</si>
  <si>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</si>
  <si>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</si>
  <si>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</si>
  <si>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</si>
  <si>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</si>
  <si>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</si>
  <si>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</si>
  <si>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</si>
  <si>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</si>
  <si>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</si>
  <si>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</si>
  <si>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</si>
  <si>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</si>
  <si>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</si>
  <si>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</si>
  <si>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</si>
  <si>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</si>
  <si>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</si>
  <si>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</si>
  <si>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</si>
  <si>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</si>
  <si>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</si>
  <si>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</si>
  <si>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</si>
  <si>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</si>
  <si>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</si>
  <si>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</si>
  <si>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</si>
  <si>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</si>
  <si>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</si>
  <si>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</si>
  <si>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</si>
  <si>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</si>
  <si>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</si>
  <si>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</si>
  <si>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</si>
  <si>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</si>
  <si>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</si>
  <si>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</si>
  <si>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</si>
  <si>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</si>
  <si>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</si>
  <si>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</si>
  <si>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</si>
  <si>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</si>
  <si>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</si>
  <si>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</si>
  <si>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</si>
  <si>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</si>
  <si>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</si>
  <si>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</si>
  <si>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</si>
  <si>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</si>
  <si>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</si>
  <si>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</si>
  <si>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</si>
  <si>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</si>
  <si>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</si>
  <si>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</si>
  <si>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</si>
  <si>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</si>
  <si>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</si>
  <si>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</si>
  <si>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</si>
  <si>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</si>
  <si>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</si>
  <si>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</si>
  <si>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</si>
  <si>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</si>
  <si>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</si>
  <si>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</si>
  <si>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</si>
  <si>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</si>
  <si>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</si>
  <si>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</si>
  <si>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</si>
  <si>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</si>
  <si>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</si>
  <si>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</si>
  <si>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</si>
  <si>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</si>
  <si>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</si>
  <si>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</si>
  <si>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</si>
  <si>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</si>
  <si>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</si>
  <si>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</si>
  <si>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</si>
  <si>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</si>
  <si>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</si>
  <si>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</si>
  <si>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</si>
  <si>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</si>
  <si>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</si>
  <si>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</si>
  <si>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</si>
  <si>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</si>
  <si>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</si>
  <si>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</si>
  <si>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</si>
  <si>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</si>
  <si>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</si>
  <si>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</si>
  <si>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</si>
  <si>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</si>
  <si>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</si>
  <si>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</si>
  <si>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</si>
  <si>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</si>
  <si>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</si>
  <si>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</si>
  <si>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</si>
  <si>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</si>
  <si>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</si>
  <si>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</si>
  <si>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</si>
  <si>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</si>
  <si>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</si>
  <si>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</si>
  <si>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</si>
  <si>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</si>
  <si>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</si>
  <si>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</si>
  <si>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</si>
  <si>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</si>
  <si>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</si>
  <si>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</si>
  <si>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</si>
  <si>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</si>
  <si>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</si>
  <si>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</si>
  <si>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</si>
  <si>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</si>
  <si>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</si>
  <si>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</si>
  <si>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</si>
  <si>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</si>
  <si>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</si>
  <si>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</si>
  <si>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</si>
  <si>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</si>
  <si>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</si>
  <si>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</si>
  <si>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</si>
  <si>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</si>
  <si>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</si>
  <si>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</si>
  <si>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</si>
  <si>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</si>
  <si>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</si>
  <si>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</si>
  <si>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</si>
  <si>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</si>
  <si>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</si>
  <si>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</si>
  <si>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</si>
  <si>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</si>
  <si>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</si>
  <si>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</si>
  <si>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</si>
  <si>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</si>
  <si>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</si>
  <si>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</si>
  <si>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</si>
  <si>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</si>
  <si>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</si>
  <si>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</si>
  <si>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</si>
  <si>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</si>
  <si>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</si>
  <si>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</si>
  <si>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</si>
  <si>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</si>
  <si>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</si>
  <si>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</si>
  <si>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</si>
  <si>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</si>
  <si>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</si>
  <si>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</si>
  <si>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</si>
  <si>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</si>
  <si>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</si>
  <si>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</si>
  <si>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</si>
  <si>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</si>
  <si>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</si>
  <si>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</si>
  <si>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</si>
  <si>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</si>
  <si>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</si>
  <si>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</si>
  <si>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</si>
  <si>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</si>
  <si>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</si>
  <si>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</si>
  <si>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</si>
  <si>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</si>
  <si>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</si>
  <si>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</si>
  <si>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</si>
  <si>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</si>
  <si>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</si>
  <si>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</si>
  <si>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</si>
  <si>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</si>
  <si>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</si>
  <si>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</si>
  <si>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</si>
  <si>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</si>
  <si>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</si>
  <si>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</si>
  <si>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</si>
  <si>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</si>
  <si>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</si>
  <si>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</si>
  <si>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</si>
  <si>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</si>
  <si>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</si>
  <si>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</si>
  <si>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</si>
  <si>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</si>
  <si>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</si>
  <si>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</si>
  <si>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</si>
  <si>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</si>
  <si>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</si>
  <si>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</si>
  <si>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</si>
  <si>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</si>
  <si>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</si>
  <si>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</si>
  <si>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</si>
  <si>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</si>
  <si>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</si>
  <si>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</si>
  <si>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</si>
  <si>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</si>
  <si>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</si>
  <si>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</si>
  <si>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</si>
  <si>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</si>
  <si>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</si>
  <si>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</si>
  <si>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</si>
  <si>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</si>
  <si>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</si>
  <si>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</si>
  <si>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</si>
  <si>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</si>
  <si>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</si>
  <si>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</si>
  <si>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</si>
  <si>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</si>
  <si>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</si>
  <si>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</si>
  <si>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</si>
  <si>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</si>
  <si>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</si>
  <si>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</si>
  <si>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</si>
  <si>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</si>
  <si>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</si>
  <si>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</si>
  <si>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</si>
  <si>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</si>
  <si>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</si>
  <si>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</si>
  <si>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</si>
  <si>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</si>
  <si>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</si>
  <si>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</si>
  <si>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</si>
  <si>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</si>
  <si>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</si>
  <si>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</si>
  <si>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</si>
  <si>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</si>
  <si>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</si>
  <si>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</si>
  <si>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</si>
  <si>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</si>
  <si>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</si>
  <si>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</si>
  <si>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</si>
  <si>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</si>
  <si>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</si>
  <si>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</si>
  <si>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</si>
  <si>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</si>
  <si>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</si>
  <si>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</si>
  <si>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</si>
  <si>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</si>
  <si>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</si>
  <si>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</si>
  <si>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</si>
  <si>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</si>
  <si>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</si>
  <si>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</si>
  <si>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</si>
  <si>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</si>
  <si>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</si>
  <si>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</si>
  <si>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</si>
  <si>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</si>
  <si>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</si>
  <si>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</si>
  <si>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</si>
  <si>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</si>
  <si>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</si>
  <si>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</si>
  <si>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</si>
  <si>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</si>
  <si>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</si>
  <si>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</si>
  <si>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</si>
  <si>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</si>
  <si>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</si>
  <si>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</si>
  <si>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</si>
  <si>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</si>
  <si>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</si>
  <si>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</si>
  <si>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</si>
  <si>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</si>
  <si>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</si>
  <si>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</si>
  <si>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</si>
  <si>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</si>
  <si>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</si>
  <si>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</si>
  <si>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</si>
  <si>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</si>
  <si>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</si>
  <si>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</si>
  <si>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</si>
  <si>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</si>
  <si>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</si>
  <si>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</si>
  <si>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</si>
  <si>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</si>
  <si>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</si>
  <si>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</si>
  <si>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</si>
  <si>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</si>
  <si>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</si>
  <si>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</si>
  <si>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</si>
  <si>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</si>
  <si>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</si>
  <si>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</si>
  <si>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</si>
  <si>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</si>
  <si>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</si>
  <si>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</si>
  <si>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</si>
  <si>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</si>
  <si>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</si>
  <si>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</si>
  <si>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</si>
  <si>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</si>
  <si>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</si>
  <si>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</si>
  <si>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</si>
  <si>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</si>
  <si>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</si>
  <si>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</si>
  <si>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</si>
  <si>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</si>
  <si>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</si>
  <si>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</si>
  <si>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</si>
  <si>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</si>
  <si>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</si>
  <si>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</si>
  <si>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</si>
  <si>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</si>
  <si>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</si>
  <si>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</si>
  <si>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</si>
  <si>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</si>
  <si>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</si>
  <si>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</si>
  <si>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</si>
  <si>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</si>
  <si>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</si>
  <si>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</si>
  <si>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</si>
  <si>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</si>
  <si>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</si>
  <si>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</si>
  <si>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</si>
  <si>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</si>
  <si>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</si>
  <si>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</si>
  <si>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</si>
  <si>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</si>
  <si>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</si>
  <si>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</si>
  <si>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</si>
  <si>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</si>
  <si>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</si>
  <si>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</si>
  <si>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</si>
  <si>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</si>
  <si>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</si>
  <si>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</si>
  <si>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</si>
  <si>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</si>
  <si>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</si>
  <si>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</si>
  <si>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</si>
  <si>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</si>
  <si>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</si>
  <si>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</si>
  <si>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</si>
  <si>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</si>
  <si>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</si>
  <si>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</si>
  <si>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</si>
  <si>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</si>
  <si>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</si>
  <si>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</si>
  <si>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</si>
  <si>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</si>
  <si>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</si>
  <si>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</si>
  <si>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</si>
  <si>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</si>
  <si>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</si>
  <si>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</si>
  <si>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</si>
  <si>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</si>
  <si>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</si>
  <si>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</si>
  <si>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</si>
  <si>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</si>
  <si>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</si>
  <si>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</si>
  <si>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</si>
  <si>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</si>
  <si>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</si>
  <si>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</si>
  <si>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</si>
  <si>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</si>
  <si>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</si>
  <si>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</si>
  <si>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</si>
  <si>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</si>
  <si>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</si>
  <si>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</si>
  <si>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</si>
  <si>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</si>
  <si>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</si>
  <si>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</si>
  <si>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</si>
  <si>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</si>
  <si>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</si>
  <si>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</si>
  <si>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</si>
  <si>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</si>
  <si>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</si>
  <si>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</si>
  <si>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</si>
  <si>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</si>
  <si>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</si>
  <si>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</si>
  <si>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</si>
  <si>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</si>
  <si>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</si>
  <si>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</si>
  <si>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</si>
  <si>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</si>
  <si>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</si>
  <si>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</si>
  <si>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</si>
  <si>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</si>
  <si>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</si>
  <si>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</si>
  <si>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</si>
  <si>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</si>
  <si>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</si>
  <si>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</si>
  <si>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</si>
  <si>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</si>
  <si>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</si>
  <si>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</si>
  <si>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</si>
  <si>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</si>
  <si>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</si>
  <si>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</si>
  <si>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</si>
  <si>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</si>
  <si>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</si>
  <si>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</si>
  <si>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</si>
  <si>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</si>
  <si>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</si>
  <si>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</si>
  <si>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</si>
  <si>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</si>
  <si>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</si>
  <si>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</si>
  <si>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</si>
  <si>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</si>
  <si>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</si>
  <si>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</si>
  <si>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</si>
  <si>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</si>
  <si>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</si>
  <si>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</si>
  <si>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</si>
  <si>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</si>
  <si>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</si>
  <si>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</si>
  <si>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</si>
  <si>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</si>
  <si>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</si>
  <si>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</si>
  <si>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</si>
  <si>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</si>
  <si>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</si>
  <si>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</si>
  <si>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</si>
  <si>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</si>
  <si>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</si>
  <si>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</si>
  <si>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</si>
  <si>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</si>
  <si>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</si>
  <si>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</si>
  <si>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</si>
  <si>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</si>
  <si>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</si>
  <si>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</si>
  <si>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</si>
  <si>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</si>
  <si>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</si>
  <si>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</si>
  <si>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</si>
  <si>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</si>
  <si>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</si>
  <si>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</si>
  <si>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</si>
  <si>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</si>
  <si>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</si>
  <si>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</si>
  <si>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</si>
  <si>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</si>
  <si>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</si>
  <si>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</si>
  <si>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</si>
  <si>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</si>
  <si>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</si>
  <si>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</si>
  <si>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</si>
  <si>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</si>
  <si>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</si>
  <si>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</si>
  <si>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</si>
  <si>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</si>
  <si>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</si>
  <si>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</si>
  <si>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</si>
  <si>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</si>
  <si>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</si>
  <si>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</si>
  <si>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</si>
  <si>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</si>
  <si>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</si>
  <si>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</si>
  <si>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</si>
  <si>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</si>
  <si>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</si>
  <si>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</si>
  <si>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</si>
  <si>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</si>
  <si>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</si>
  <si>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</si>
  <si>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</si>
  <si>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</si>
  <si>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</si>
  <si>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</si>
  <si>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</si>
  <si>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</si>
  <si>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</si>
  <si>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</si>
  <si>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</si>
  <si>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</si>
  <si>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</si>
  <si>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</si>
  <si>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</si>
  <si>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</si>
  <si>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</si>
  <si>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</si>
  <si>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</si>
  <si>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</si>
  <si>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</si>
  <si>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</si>
  <si>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</si>
  <si>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</si>
  <si>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</si>
  <si>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</si>
  <si>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</si>
  <si>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</si>
  <si>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</si>
  <si>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</si>
  <si>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</si>
  <si>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</si>
  <si>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</si>
  <si>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</si>
  <si>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</si>
  <si>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</si>
  <si>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</si>
  <si>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</si>
  <si>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</si>
  <si>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</si>
  <si>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</si>
  <si>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</si>
  <si>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</si>
  <si>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</si>
  <si>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</si>
  <si>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</si>
  <si>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</si>
  <si>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</si>
  <si>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</si>
  <si>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</si>
  <si>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</si>
  <si>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</si>
  <si>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</si>
  <si>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</si>
  <si>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</si>
  <si>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</si>
  <si>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</si>
  <si>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</si>
  <si>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</si>
  <si>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</si>
  <si>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</si>
  <si>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</si>
  <si>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</si>
  <si>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</si>
  <si>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</si>
  <si>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</si>
  <si>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</si>
  <si>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</si>
  <si>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</si>
  <si>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</si>
  <si>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</si>
  <si>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</si>
  <si>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</si>
  <si>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</si>
  <si>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</si>
  <si>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</si>
  <si>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</si>
  <si>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</si>
  <si>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</si>
  <si>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</si>
  <si>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</si>
  <si>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</si>
  <si>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</si>
  <si>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</si>
  <si>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</si>
  <si>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</si>
  <si>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</si>
  <si>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</si>
  <si>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</si>
  <si>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</si>
  <si>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</si>
  <si>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</si>
  <si>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</si>
  <si>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</si>
  <si>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</si>
  <si>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</si>
  <si>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</si>
  <si>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</si>
  <si>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</si>
  <si>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</si>
  <si>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</si>
  <si>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</si>
  <si>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</si>
  <si>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</si>
  <si>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</si>
  <si>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</si>
  <si>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</si>
  <si>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</si>
  <si>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</si>
  <si>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</si>
  <si>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</si>
  <si>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</si>
  <si>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</si>
  <si>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</si>
  <si>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</si>
  <si>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</si>
  <si>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</si>
  <si>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</si>
  <si>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</si>
  <si>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</si>
  <si>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</si>
  <si>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</si>
  <si>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</si>
  <si>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</si>
  <si>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</si>
  <si>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</si>
  <si>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</si>
  <si>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</si>
  <si>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</si>
  <si>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</si>
  <si>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</si>
  <si>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</si>
  <si>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</si>
  <si>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</si>
  <si>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</si>
  <si>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</si>
  <si>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</si>
  <si>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</si>
  <si>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</si>
  <si>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</si>
  <si>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</si>
  <si>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</si>
  <si>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</si>
  <si>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</si>
  <si>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</si>
  <si>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</si>
  <si>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</si>
  <si>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</si>
  <si>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</si>
  <si>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</si>
  <si>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</si>
  <si>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</si>
  <si>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</si>
  <si>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</si>
  <si>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</si>
  <si>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</si>
  <si>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</si>
  <si>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</si>
  <si>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</si>
  <si>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</si>
  <si>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</si>
  <si>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</si>
  <si>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</si>
  <si>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</si>
  <si>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</si>
  <si>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</si>
  <si>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</si>
  <si>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</si>
  <si>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</si>
  <si>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</si>
  <si>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</si>
  <si>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</si>
  <si>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</si>
  <si>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</si>
  <si>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</si>
  <si>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</si>
  <si>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</si>
  <si>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</si>
  <si>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</si>
  <si>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</si>
  <si>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</si>
  <si>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</si>
  <si>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</si>
  <si>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</si>
  <si>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</si>
  <si>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</si>
  <si>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</si>
  <si>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</si>
  <si>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</si>
  <si>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</si>
  <si>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</si>
  <si>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</si>
  <si>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</si>
  <si>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</si>
  <si>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</si>
  <si>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</si>
  <si>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</si>
  <si>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</si>
  <si>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</si>
  <si>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</si>
  <si>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</si>
  <si>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</si>
  <si>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</si>
  <si>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</si>
  <si>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</si>
  <si>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</si>
  <si>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</si>
  <si>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</si>
  <si>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</si>
  <si>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</si>
  <si>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</si>
  <si>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</si>
  <si>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</si>
  <si>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</si>
  <si>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</si>
  <si>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</si>
  <si>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</si>
  <si>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</si>
  <si>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</si>
  <si>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</si>
  <si>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</si>
  <si>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</si>
  <si>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</si>
  <si>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</si>
  <si>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</si>
  <si>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</si>
  <si>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</si>
  <si>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</si>
  <si>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</si>
  <si>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</si>
  <si>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</si>
  <si>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</si>
  <si>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</si>
  <si>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</si>
  <si>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</si>
  <si>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</si>
  <si>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</si>
  <si>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</si>
  <si>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</si>
  <si>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</si>
  <si>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</si>
  <si>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</si>
  <si>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</si>
  <si>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</si>
  <si>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</si>
  <si>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</si>
  <si>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</si>
  <si>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</si>
  <si>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</si>
  <si>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</si>
  <si>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</si>
  <si>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</si>
  <si>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</si>
  <si>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</si>
  <si>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</si>
  <si>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</si>
  <si>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</si>
  <si>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</si>
  <si>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</si>
  <si>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</si>
  <si>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</si>
  <si>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</si>
  <si>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</si>
  <si>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</si>
  <si>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</si>
  <si>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</si>
  <si>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</si>
  <si>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</si>
  <si>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</si>
  <si>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</si>
  <si>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</si>
  <si>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</si>
  <si>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</si>
  <si>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</si>
  <si>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</si>
  <si>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</si>
  <si>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</si>
  <si>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</si>
  <si>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</si>
  <si>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</si>
  <si>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</si>
  <si>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</si>
  <si>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</si>
  <si>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</si>
  <si>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</si>
  <si>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</si>
  <si>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</si>
  <si>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</si>
  <si>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</si>
  <si>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</si>
  <si>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</si>
  <si>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</si>
  <si>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</si>
  <si>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</si>
  <si>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</si>
  <si>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</si>
  <si>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</si>
  <si>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</si>
  <si>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</si>
  <si>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</si>
  <si>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</si>
  <si>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</si>
  <si>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</si>
  <si>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</si>
  <si>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</si>
  <si>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</si>
  <si>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</si>
  <si>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</si>
  <si>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</si>
  <si>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</si>
  <si>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</si>
  <si>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</si>
  <si>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</si>
  <si>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</si>
  <si>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</si>
  <si>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</si>
  <si>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</si>
  <si>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</si>
  <si>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</si>
  <si>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</si>
  <si>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</si>
  <si>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</si>
  <si>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</si>
  <si>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</si>
  <si>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</si>
  <si>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</si>
  <si>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</si>
  <si>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</si>
  <si>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</si>
  <si>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</si>
  <si>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</si>
  <si>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</si>
  <si>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</si>
  <si>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</si>
  <si>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</si>
  <si>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</si>
  <si>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</si>
  <si>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</si>
  <si>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</si>
  <si>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</si>
  <si>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</si>
  <si>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</si>
  <si>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</si>
  <si>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</si>
  <si>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</si>
  <si>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</si>
  <si>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</si>
  <si>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</si>
  <si>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</si>
  <si>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</si>
  <si>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</si>
  <si>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</si>
  <si>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</si>
  <si>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</si>
  <si>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</si>
  <si>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</si>
  <si>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</si>
  <si>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</si>
  <si>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</si>
  <si>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</si>
  <si>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</si>
  <si>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</si>
  <si>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</si>
  <si>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</si>
  <si>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</si>
  <si>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</si>
  <si>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</si>
  <si>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</si>
  <si>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</si>
  <si>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</si>
  <si>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</si>
  <si>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</si>
  <si>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</si>
  <si>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</si>
  <si>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</si>
  <si>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</si>
  <si>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</si>
  <si>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</si>
  <si>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</si>
  <si>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</si>
  <si>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</si>
  <si>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</si>
  <si>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</si>
  <si>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</si>
  <si>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</si>
  <si>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</si>
  <si>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</si>
  <si>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</si>
  <si>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</si>
  <si>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</si>
  <si>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</si>
  <si>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</si>
  <si>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</si>
  <si>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</si>
  <si>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</si>
  <si>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</si>
  <si>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</si>
  <si>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</si>
  <si>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</si>
  <si>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</si>
  <si>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</si>
  <si>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</si>
  <si>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</si>
  <si>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</si>
  <si>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</si>
  <si>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</si>
  <si>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</si>
  <si>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</si>
  <si>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</si>
  <si>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</si>
  <si>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</si>
  <si>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</si>
  <si>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</si>
  <si>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</si>
  <si>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</si>
  <si>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</si>
  <si>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</si>
  <si>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</si>
  <si>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</si>
  <si>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</si>
  <si>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</si>
  <si>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</si>
  <si>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</si>
  <si>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</si>
  <si>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</si>
  <si>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</si>
  <si>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</si>
  <si>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</si>
  <si>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</si>
  <si>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</si>
  <si>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</si>
  <si>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</si>
  <si>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</si>
  <si>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</si>
  <si>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</si>
  <si>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</si>
  <si>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</si>
  <si>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</si>
  <si>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</si>
  <si>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</si>
  <si>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</si>
  <si>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</si>
  <si>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</si>
  <si>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</si>
  <si>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</si>
  <si>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</si>
  <si>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</si>
  <si>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</si>
  <si>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</si>
  <si>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</si>
  <si>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</si>
  <si>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</si>
  <si>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</si>
  <si>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</si>
  <si>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</si>
  <si>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</si>
  <si>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</si>
  <si>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</si>
  <si>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</si>
  <si>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</si>
  <si>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</si>
  <si>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</si>
  <si>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</si>
  <si>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</si>
  <si>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</si>
  <si>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</si>
  <si>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</si>
  <si>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</si>
  <si>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</si>
  <si>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</si>
  <si>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</si>
  <si>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</si>
  <si>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</si>
  <si>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</si>
  <si>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</si>
  <si>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</si>
  <si>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</si>
  <si>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</si>
  <si>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</si>
  <si>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</si>
  <si>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</si>
  <si>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</si>
  <si>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</si>
  <si>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</si>
  <si>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</si>
  <si>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</si>
  <si>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</si>
  <si>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</si>
  <si>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</si>
  <si>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</si>
  <si>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</si>
  <si>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</si>
  <si>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</si>
  <si>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</si>
  <si>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</si>
  <si>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</si>
  <si>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</si>
  <si>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</si>
  <si>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</si>
  <si>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</si>
  <si>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</si>
  <si>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</si>
  <si>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</si>
  <si>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</si>
  <si>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</si>
  <si>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</si>
  <si>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</si>
  <si>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</si>
  <si>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</si>
  <si>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</si>
  <si>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</si>
  <si>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</si>
  <si>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</si>
  <si>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</si>
  <si>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</si>
  <si>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</si>
  <si>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</si>
  <si>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</si>
  <si>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</si>
  <si>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</si>
  <si>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</si>
  <si>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</si>
  <si>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</si>
  <si>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</si>
  <si>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</si>
  <si>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</si>
  <si>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</si>
  <si>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</si>
  <si>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</si>
  <si>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</si>
  <si>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</si>
  <si>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</si>
  <si>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</si>
  <si>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</si>
  <si>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</si>
  <si>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</si>
  <si>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</si>
  <si>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</si>
  <si>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</si>
  <si>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</si>
  <si>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</si>
  <si>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</si>
  <si>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</si>
  <si>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</si>
  <si>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</si>
  <si>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</si>
  <si>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</si>
  <si>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</si>
  <si>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</si>
  <si>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</si>
  <si>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</si>
  <si>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</si>
  <si>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</si>
  <si>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</si>
  <si>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</si>
  <si>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</si>
  <si>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</si>
  <si>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</si>
  <si>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</si>
  <si>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</si>
  <si>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</si>
  <si>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</si>
  <si>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</si>
  <si>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</si>
  <si>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</si>
  <si>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</si>
  <si>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</si>
  <si>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</si>
  <si>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</si>
  <si>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</si>
  <si>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</si>
  <si>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</si>
  <si>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</si>
  <si>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</si>
  <si>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</si>
  <si>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</si>
  <si>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</si>
  <si>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</si>
  <si>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</si>
  <si>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</si>
  <si>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</si>
  <si>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</si>
  <si>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</si>
  <si>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</si>
  <si>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</si>
  <si>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</si>
  <si>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</si>
  <si>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</si>
  <si>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</si>
  <si>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</si>
  <si>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</si>
  <si>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</si>
  <si>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</si>
  <si>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</si>
  <si>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</si>
  <si>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</si>
  <si>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</si>
  <si>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</si>
  <si>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</si>
  <si>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</si>
  <si>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</si>
  <si>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</si>
  <si>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</si>
  <si>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</si>
  <si>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</si>
  <si>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</si>
  <si>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</si>
  <si>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</si>
  <si>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</si>
  <si>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</si>
  <si>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</si>
  <si>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</si>
  <si>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</si>
  <si>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</si>
  <si>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</si>
  <si>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</si>
  <si>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</si>
  <si>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</si>
  <si>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</si>
  <si>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</si>
  <si>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</si>
  <si>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</si>
  <si>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</si>
  <si>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</si>
  <si>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</si>
  <si>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</si>
  <si>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</si>
  <si>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</si>
  <si>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</si>
  <si>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</si>
  <si>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</si>
  <si>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</si>
  <si>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</si>
  <si>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</si>
  <si>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</si>
  <si>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</si>
  <si>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</si>
  <si>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</si>
  <si>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</si>
  <si>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</si>
  <si>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</si>
  <si>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</si>
  <si>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</si>
  <si>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</si>
  <si>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</si>
  <si>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</si>
  <si>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</si>
  <si>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</si>
  <si>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</si>
  <si>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</si>
  <si>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</si>
  <si>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</si>
  <si>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</si>
  <si>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</si>
  <si>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</si>
  <si>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</si>
  <si>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</si>
  <si>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</si>
  <si>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</si>
  <si>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</si>
  <si>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</si>
  <si>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</si>
  <si>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</si>
  <si>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</si>
  <si>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</si>
  <si>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</si>
  <si>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</si>
  <si>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</si>
  <si>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</si>
  <si>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</si>
  <si>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</si>
  <si>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</si>
  <si>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</si>
  <si>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</si>
  <si>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</si>
  <si>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</si>
  <si>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</si>
  <si>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</si>
  <si>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</si>
  <si>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</si>
  <si>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</si>
  <si>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</si>
  <si>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</si>
  <si>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</si>
  <si>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</si>
  <si>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</si>
  <si>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</si>
  <si>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</si>
  <si>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</si>
  <si>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</si>
  <si>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</si>
  <si>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</si>
  <si>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</si>
  <si>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</si>
  <si>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</si>
  <si>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</si>
  <si>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</si>
  <si>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</si>
  <si>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</si>
  <si>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</si>
  <si>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</si>
  <si>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</si>
  <si>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</si>
  <si>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</si>
  <si>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</si>
  <si>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</si>
  <si>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</si>
  <si>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</si>
  <si>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</si>
  <si>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</si>
  <si>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</si>
  <si>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</si>
  <si>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</si>
  <si>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</si>
  <si>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</si>
  <si>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</si>
  <si>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</si>
  <si>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</si>
  <si>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</si>
  <si>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</si>
  <si>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</si>
  <si>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</si>
  <si>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</si>
  <si>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</si>
  <si>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</si>
  <si>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</si>
  <si>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</si>
  <si>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</si>
  <si>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</si>
  <si>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</si>
  <si>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</si>
  <si>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</si>
  <si>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</si>
  <si>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</si>
  <si>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</si>
  <si>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</si>
  <si>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</si>
  <si>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</si>
  <si>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</si>
  <si>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</si>
  <si>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</si>
  <si>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</si>
  <si>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</si>
  <si>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</si>
  <si>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</si>
  <si>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</si>
  <si>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</si>
  <si>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</si>
  <si>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</si>
  <si>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</si>
  <si>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</si>
  <si>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</si>
  <si>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</si>
  <si>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</si>
  <si>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</si>
  <si>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</si>
  <si>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</si>
  <si>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</si>
  <si>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</si>
  <si>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</si>
  <si>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</si>
  <si>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</si>
  <si>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</si>
  <si>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</si>
  <si>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</si>
  <si>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</si>
  <si>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</si>
  <si>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</si>
  <si>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</si>
  <si>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</si>
  <si>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</si>
  <si>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</si>
  <si>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</si>
  <si>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</si>
  <si>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</si>
  <si>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</si>
  <si>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</si>
  <si>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</si>
  <si>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</si>
  <si>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</si>
  <si>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</si>
  <si>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</si>
  <si>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</si>
  <si>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</si>
  <si>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</si>
  <si>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</si>
  <si>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</si>
  <si>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</si>
  <si>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</si>
  <si>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</si>
  <si>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</si>
  <si>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</si>
  <si>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</si>
  <si>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</si>
  <si>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</si>
  <si>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</si>
  <si>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</si>
  <si>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</si>
  <si>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</si>
  <si>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</si>
  <si>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</si>
  <si>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</si>
  <si>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</si>
  <si>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</si>
  <si>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</si>
  <si>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</si>
  <si>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</si>
  <si>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</si>
  <si>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</si>
  <si>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</si>
  <si>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</si>
  <si>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</si>
  <si>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</si>
  <si>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</si>
  <si>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</si>
  <si>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</si>
  <si>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</si>
  <si>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</si>
  <si>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</si>
  <si>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</si>
  <si>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</si>
  <si>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</si>
  <si>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</si>
  <si>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</si>
  <si>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</si>
  <si>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</si>
  <si>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</si>
  <si>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</si>
  <si>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</si>
  <si>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</si>
  <si>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</si>
  <si>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</si>
  <si>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</si>
  <si>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</si>
  <si>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</si>
  <si>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</si>
  <si>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</si>
  <si>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</si>
  <si>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</si>
  <si>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</si>
  <si>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</si>
  <si>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</si>
  <si>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</si>
  <si>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</si>
  <si>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</si>
  <si>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</si>
  <si>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</si>
  <si>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</si>
  <si>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</si>
  <si>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</si>
  <si>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</si>
  <si>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</si>
  <si>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</si>
  <si>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</si>
  <si>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</si>
  <si>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</si>
  <si>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</si>
  <si>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</si>
  <si>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</si>
  <si>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</si>
  <si>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</si>
  <si>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</si>
  <si>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</si>
  <si>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</si>
  <si>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</si>
  <si>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</si>
  <si>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</si>
  <si>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</si>
  <si>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</si>
  <si>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</si>
  <si>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</si>
  <si>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</si>
  <si>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</si>
  <si>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</si>
  <si>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</si>
  <si>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</si>
  <si>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</si>
  <si>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</si>
  <si>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</si>
  <si>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</si>
  <si>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</si>
  <si>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</si>
  <si>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</si>
  <si>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</si>
  <si>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</si>
  <si>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</si>
  <si>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</si>
  <si>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</si>
  <si>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</si>
  <si>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</si>
  <si>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</si>
  <si>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</si>
  <si>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</si>
  <si>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</si>
  <si>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</si>
  <si>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</si>
  <si>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</si>
  <si>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</si>
  <si>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</si>
  <si>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</si>
  <si>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</si>
  <si>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</si>
  <si>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</si>
  <si>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</si>
  <si>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</si>
  <si>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</si>
  <si>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</si>
  <si>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</si>
  <si>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</si>
  <si>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</si>
  <si>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</si>
  <si>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</si>
  <si>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</si>
  <si>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</si>
  <si>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</si>
  <si>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</si>
  <si>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</si>
  <si>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</si>
  <si>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</si>
  <si>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</si>
  <si>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</si>
  <si>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</si>
  <si>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</si>
  <si>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</si>
  <si>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</si>
  <si>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</si>
  <si>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</si>
  <si>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</si>
  <si>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</si>
  <si>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</si>
  <si>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</si>
  <si>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</si>
  <si>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</si>
  <si>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</si>
  <si>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</si>
  <si>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</si>
  <si>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</si>
  <si>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</si>
  <si>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</si>
  <si>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</si>
  <si>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</si>
  <si>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</si>
  <si>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</si>
  <si>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</si>
  <si>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</si>
  <si>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</si>
  <si>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</si>
  <si>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</si>
  <si>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</si>
  <si>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</si>
  <si>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</si>
  <si>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</si>
  <si>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</si>
  <si>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</si>
  <si>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</si>
  <si>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</si>
  <si>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</si>
  <si>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</si>
  <si>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</si>
  <si>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</si>
  <si>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</si>
  <si>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</si>
  <si>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</si>
  <si>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</si>
  <si>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</si>
  <si>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</si>
  <si>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</si>
  <si>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</si>
  <si>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</si>
  <si>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</si>
  <si>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</si>
  <si>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</si>
  <si>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</si>
  <si>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</si>
  <si>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</si>
  <si>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</si>
  <si>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</si>
  <si>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</si>
  <si>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</si>
  <si>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</si>
  <si>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</si>
  <si>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</si>
  <si>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</si>
  <si>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</si>
  <si>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</si>
  <si>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</si>
  <si>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</si>
  <si>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</si>
  <si>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</si>
  <si>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</si>
  <si>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</si>
  <si>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</si>
  <si>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</si>
  <si>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</si>
  <si>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</si>
  <si>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</si>
  <si>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</si>
  <si>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</si>
  <si>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</si>
  <si>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</si>
  <si>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</si>
  <si>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</si>
  <si>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</si>
  <si>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</si>
  <si>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</si>
  <si>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</si>
  <si>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</si>
  <si>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</si>
  <si>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</si>
  <si>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</si>
  <si>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</si>
  <si>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</si>
  <si>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</si>
  <si>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</si>
  <si>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</si>
  <si>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</si>
  <si>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</si>
  <si>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</si>
  <si>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</si>
  <si>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</si>
  <si>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</si>
  <si>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</si>
  <si>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</si>
  <si>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</si>
  <si>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</si>
  <si>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</si>
  <si>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</si>
  <si>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</si>
  <si>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</si>
  <si>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</si>
  <si>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</si>
  <si>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</si>
  <si>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</si>
  <si>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</si>
  <si>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</si>
  <si>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</si>
  <si>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</si>
  <si>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</si>
  <si>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</si>
  <si>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</si>
  <si>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</si>
  <si>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</si>
  <si>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</si>
  <si>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</si>
  <si>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</si>
  <si>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</si>
  <si>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</si>
  <si>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</si>
  <si>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</si>
  <si>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</si>
  <si>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</si>
  <si>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</si>
  <si>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</si>
  <si>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</si>
  <si>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</si>
  <si>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</si>
  <si>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</si>
  <si>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</si>
  <si>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</si>
  <si>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</si>
  <si>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</si>
  <si>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</si>
  <si>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</si>
  <si>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</si>
  <si>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</si>
  <si>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</si>
  <si>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</si>
  <si>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</si>
  <si>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</si>
  <si>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</si>
  <si>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</si>
  <si>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</si>
  <si>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</si>
  <si>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</si>
  <si>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</si>
  <si>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</si>
  <si>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</si>
  <si>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</si>
  <si>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</si>
  <si>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</si>
  <si>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</si>
  <si>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</si>
  <si>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</si>
  <si>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</si>
  <si>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</si>
  <si>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</si>
  <si>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</si>
  <si>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</si>
  <si>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</si>
  <si>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</si>
  <si>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</si>
  <si>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</si>
  <si>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</si>
  <si>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</si>
  <si>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</si>
  <si>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</si>
  <si>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</si>
  <si>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</si>
  <si>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</si>
  <si>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</si>
  <si>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</si>
  <si>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</si>
  <si>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</si>
  <si>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</si>
  <si>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</si>
  <si>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</si>
  <si>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</si>
  <si>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</si>
  <si>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</si>
  <si>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</si>
  <si>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</si>
  <si>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</si>
  <si>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</si>
  <si>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</si>
  <si>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</si>
  <si>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</si>
  <si>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</si>
  <si>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</si>
  <si>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</si>
  <si>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</si>
  <si>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</si>
  <si>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</si>
  <si>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</si>
  <si>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</si>
  <si>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</si>
  <si>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</si>
  <si>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</si>
  <si>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</si>
  <si>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</si>
  <si>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</si>
  <si>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</si>
  <si>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</si>
  <si>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</si>
  <si>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</si>
  <si>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</si>
  <si>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</si>
  <si>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</si>
  <si>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</si>
  <si>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</si>
  <si>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</si>
  <si>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</si>
  <si>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</si>
  <si>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</si>
  <si>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</si>
  <si>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</si>
  <si>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</si>
  <si>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</si>
  <si>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</si>
  <si>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</si>
  <si>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</si>
  <si>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</si>
  <si>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</si>
  <si>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</si>
  <si>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</si>
  <si>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</si>
  <si>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</si>
  <si>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</si>
  <si>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</si>
  <si>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</si>
  <si>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</si>
  <si>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</si>
  <si>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</si>
  <si>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</si>
  <si>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</si>
  <si>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</si>
  <si>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</si>
  <si>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</si>
  <si>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</si>
  <si>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</si>
  <si>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</si>
  <si>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</si>
  <si>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</si>
  <si>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</si>
  <si>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</si>
  <si>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</si>
  <si>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</si>
  <si>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</si>
  <si>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</si>
  <si>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</si>
  <si>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</si>
  <si>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</si>
  <si>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</si>
  <si>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</si>
  <si>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</si>
  <si>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</si>
  <si>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</si>
  <si>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</si>
  <si>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</si>
  <si>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</si>
  <si>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</si>
  <si>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</si>
  <si>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</si>
  <si>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</si>
  <si>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</si>
  <si>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</si>
  <si>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</si>
  <si>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</si>
  <si>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</si>
  <si>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</si>
  <si>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</si>
  <si>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</si>
  <si>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</si>
  <si>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</si>
  <si>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</si>
  <si>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</si>
  <si>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</si>
  <si>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</si>
  <si>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</si>
  <si>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</si>
  <si>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</si>
  <si>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</si>
  <si>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</si>
  <si>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</si>
  <si>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</si>
  <si>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</si>
  <si>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</si>
  <si>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</si>
  <si>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</si>
  <si>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</si>
  <si>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</si>
  <si>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</si>
  <si>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</si>
  <si>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</si>
  <si>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</si>
  <si>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</si>
  <si>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</si>
  <si>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</si>
  <si>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</si>
  <si>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</si>
  <si>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</si>
  <si>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</si>
  <si>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</si>
  <si>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</si>
  <si>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</si>
  <si>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</si>
  <si>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</si>
  <si>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</si>
  <si>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</si>
  <si>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</si>
  <si>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</si>
  <si>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</si>
  <si>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</si>
  <si>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</si>
  <si>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</si>
  <si>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</si>
  <si>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</si>
  <si>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</si>
  <si>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</si>
  <si>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</si>
  <si>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</si>
  <si>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</si>
  <si>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</si>
  <si>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</si>
  <si>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</si>
  <si>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</si>
  <si>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</si>
  <si>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</si>
  <si>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</si>
  <si>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</si>
  <si>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</si>
  <si>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</si>
  <si>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</si>
  <si>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</si>
  <si>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</si>
  <si>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</si>
  <si>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</si>
  <si>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</si>
  <si>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</si>
  <si>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</si>
  <si>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</si>
  <si>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</si>
  <si>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</si>
  <si>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</si>
  <si>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</si>
  <si>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</si>
  <si>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</si>
  <si>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</si>
  <si>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</si>
  <si>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</si>
  <si>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</si>
  <si>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</si>
  <si>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</si>
  <si>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</si>
  <si>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</si>
  <si>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</si>
  <si>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</si>
  <si>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</si>
  <si>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</si>
  <si>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</si>
  <si>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</si>
  <si>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</si>
  <si>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</si>
  <si>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</si>
  <si>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</si>
  <si>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</si>
  <si>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</si>
  <si>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</si>
  <si>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</si>
  <si>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</si>
  <si>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</si>
  <si>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</si>
  <si>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</si>
  <si>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</si>
  <si>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</si>
  <si>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</si>
  <si>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</si>
  <si>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</si>
  <si>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</si>
  <si>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</si>
  <si>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</si>
  <si>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</si>
  <si>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</si>
  <si>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</si>
  <si>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</si>
  <si>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</si>
  <si>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</si>
  <si>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</si>
  <si>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</si>
  <si>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</si>
  <si>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</si>
  <si>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</si>
  <si>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</si>
  <si>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</si>
  <si>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</si>
  <si>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</si>
  <si>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</si>
  <si>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</si>
  <si>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</si>
  <si>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</si>
  <si>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</si>
  <si>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</si>
  <si>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</si>
  <si>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</si>
  <si>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</si>
  <si>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</si>
  <si>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</si>
  <si>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</si>
  <si>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</si>
  <si>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</si>
  <si>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</si>
  <si>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</si>
  <si>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</si>
  <si>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</si>
  <si>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</si>
  <si>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</si>
  <si>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</si>
  <si>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</si>
  <si>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</si>
  <si>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</si>
  <si>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</si>
  <si>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</si>
  <si>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</si>
  <si>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</si>
  <si>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</si>
  <si>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</si>
  <si>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</si>
  <si>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</si>
  <si>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</si>
  <si>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</si>
  <si>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</si>
  <si>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</si>
  <si>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</si>
  <si>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</si>
  <si>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</si>
  <si>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</si>
  <si>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</si>
  <si>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</si>
  <si>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</si>
  <si>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</si>
  <si>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</si>
  <si>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</si>
  <si>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</si>
  <si>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</si>
  <si>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</si>
  <si>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</si>
  <si>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</si>
  <si>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</si>
  <si>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</si>
  <si>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</si>
  <si>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</si>
  <si>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</si>
  <si>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</si>
  <si>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</si>
  <si>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</si>
  <si>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</si>
  <si>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</si>
  <si>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</si>
  <si>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</si>
  <si>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</si>
  <si>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</si>
  <si>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</si>
  <si>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</si>
  <si>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</si>
  <si>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</si>
  <si>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</si>
  <si>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</si>
  <si>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</si>
  <si>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</si>
  <si>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</si>
  <si>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</si>
  <si>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</si>
  <si>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</si>
  <si>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</si>
  <si>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</si>
  <si>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</si>
  <si>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</si>
  <si>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</si>
  <si>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</si>
  <si>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</si>
  <si>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</si>
  <si>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</si>
  <si>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</si>
  <si>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</si>
  <si>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</si>
  <si>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</si>
  <si>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</si>
  <si>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</si>
  <si>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</si>
  <si>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</si>
  <si>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</si>
  <si>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</si>
  <si>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</si>
  <si>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</si>
  <si>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</si>
  <si>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</si>
  <si>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</si>
  <si>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</si>
  <si>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</si>
  <si>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</si>
  <si>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</si>
  <si>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</si>
  <si>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</si>
  <si>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</si>
  <si>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</si>
  <si>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</si>
  <si>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</si>
  <si>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</si>
  <si>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</si>
  <si>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</si>
  <si>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</si>
  <si>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</si>
  <si>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</si>
  <si>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</si>
  <si>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</si>
  <si>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</si>
  <si>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</si>
  <si>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</si>
  <si>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</si>
  <si>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</si>
  <si>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</si>
  <si>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</si>
  <si>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</si>
  <si>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</si>
  <si>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</si>
  <si>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</si>
  <si>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</si>
  <si>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</si>
  <si>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</si>
  <si>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</si>
  <si>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</si>
  <si>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</si>
  <si>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</si>
  <si>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</si>
  <si>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</si>
  <si>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</si>
  <si>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</si>
  <si>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</si>
  <si>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</si>
  <si>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</si>
  <si>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</si>
  <si>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</si>
  <si>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</si>
  <si>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</si>
  <si>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</si>
  <si>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</si>
  <si>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</si>
  <si>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</si>
  <si>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</si>
  <si>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</si>
  <si>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</si>
  <si>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</si>
  <si>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</si>
  <si>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</si>
  <si>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</si>
  <si>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</si>
  <si>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</si>
  <si>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</si>
  <si>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</si>
  <si>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</si>
  <si>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</si>
  <si>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</si>
  <si>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</si>
  <si>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</si>
  <si>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</si>
  <si>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</si>
  <si>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</si>
  <si>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</si>
  <si>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</si>
  <si>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</si>
  <si>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</si>
  <si>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</si>
  <si>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</si>
  <si>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</si>
  <si>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</si>
  <si>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</si>
  <si>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</si>
  <si>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</si>
  <si>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</si>
  <si>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</si>
  <si>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</si>
  <si>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</si>
  <si>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</si>
  <si>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</si>
  <si>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</si>
  <si>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</si>
  <si>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</si>
  <si>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</si>
  <si>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</si>
  <si>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</si>
  <si>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</si>
  <si>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</si>
  <si>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</si>
  <si>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</si>
  <si>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</si>
  <si>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</si>
  <si>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</si>
  <si>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</si>
  <si>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</si>
  <si>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</si>
  <si>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</si>
  <si>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</si>
  <si>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</si>
  <si>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</si>
  <si>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</si>
  <si>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</si>
  <si>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</si>
  <si>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</si>
  <si>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</si>
  <si>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</si>
  <si>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</si>
  <si>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</si>
  <si>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</si>
  <si>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</si>
  <si>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</si>
  <si>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</si>
  <si>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</si>
  <si>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</si>
  <si>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</si>
  <si>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</si>
  <si>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</si>
  <si>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</si>
  <si>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</si>
  <si>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</si>
  <si>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</si>
  <si>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</si>
  <si>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</si>
  <si>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</si>
  <si>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</si>
  <si>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</si>
  <si>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</si>
  <si>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</si>
  <si>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</si>
  <si>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</si>
  <si>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</si>
  <si>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</si>
  <si>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</si>
  <si>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</si>
  <si>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</si>
  <si>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</si>
  <si>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</si>
  <si>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</si>
  <si>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</si>
  <si>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</si>
  <si>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</si>
  <si>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</si>
  <si>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</si>
  <si>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</si>
  <si>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</si>
  <si>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</si>
  <si>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</si>
  <si>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</si>
  <si>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</si>
  <si>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</si>
  <si>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</si>
  <si>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</si>
  <si>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</si>
  <si>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</si>
  <si>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</si>
  <si>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</si>
  <si>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</si>
  <si>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</si>
  <si>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</si>
  <si>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</si>
  <si>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</si>
  <si>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</si>
  <si>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</si>
  <si>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</si>
  <si>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</si>
  <si>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</si>
  <si>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</si>
  <si>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</si>
  <si>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</si>
  <si>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</si>
  <si>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</si>
  <si>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</si>
  <si>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</si>
  <si>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</si>
  <si>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</si>
  <si>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</si>
  <si>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</si>
  <si>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</si>
  <si>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</si>
  <si>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</si>
  <si>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</si>
  <si>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</si>
  <si>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</si>
  <si>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</si>
  <si>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</si>
  <si>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</si>
  <si>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</si>
  <si>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</si>
  <si>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</si>
  <si>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</si>
  <si>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</si>
  <si>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</si>
  <si>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</si>
  <si>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</si>
  <si>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</si>
  <si>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</si>
  <si>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</si>
  <si>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</si>
  <si>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</si>
  <si>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</si>
  <si>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</si>
  <si>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</si>
  <si>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</si>
  <si>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</si>
  <si>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</si>
  <si>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</si>
  <si>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</si>
  <si>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</si>
  <si>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</si>
  <si>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</si>
  <si>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</si>
  <si>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</si>
  <si>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</si>
  <si>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</si>
  <si>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</si>
  <si>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</si>
  <si>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</si>
  <si>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</si>
  <si>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</si>
  <si>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</si>
  <si>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</si>
  <si>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</si>
  <si>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</si>
  <si>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</si>
  <si>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</si>
  <si>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</si>
  <si>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</si>
  <si>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</si>
  <si>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</si>
  <si>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</si>
  <si>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</si>
  <si>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</si>
  <si>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</si>
  <si>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</si>
  <si>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</si>
  <si>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</si>
  <si>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</si>
  <si>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</si>
  <si>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</si>
  <si>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</si>
  <si>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</si>
  <si>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</si>
  <si>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</si>
  <si>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</si>
  <si>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</si>
  <si>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</si>
  <si>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</si>
  <si>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</si>
  <si>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</si>
  <si>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</si>
  <si>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</si>
  <si>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</si>
  <si>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</si>
  <si>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</si>
  <si>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</si>
  <si>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</si>
  <si>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</si>
  <si>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</si>
  <si>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</si>
  <si>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</si>
  <si>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</si>
  <si>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</si>
  <si>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</si>
  <si>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</si>
  <si>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</si>
  <si>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</si>
  <si>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</si>
  <si>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</si>
  <si>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</si>
  <si>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</si>
  <si>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</si>
  <si>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</si>
  <si>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</si>
  <si>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</si>
  <si>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</si>
  <si>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</si>
  <si>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</si>
  <si>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</si>
  <si>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</si>
  <si>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</si>
  <si>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</si>
  <si>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</si>
  <si>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</si>
  <si>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</si>
  <si>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</si>
  <si>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</si>
  <si>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</si>
  <si>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</si>
  <si>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</si>
  <si>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</si>
  <si>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</si>
  <si>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</si>
  <si>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</si>
  <si>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</si>
  <si>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</si>
  <si>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</si>
  <si>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</si>
  <si>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</si>
  <si>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</si>
  <si>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</si>
  <si>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</si>
  <si>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</si>
  <si>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</si>
  <si>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</si>
  <si>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</si>
  <si>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</si>
  <si>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</si>
  <si>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</si>
  <si>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</si>
  <si>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</si>
  <si>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</si>
  <si>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</si>
  <si>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</si>
  <si>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</si>
  <si>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</si>
  <si>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</si>
  <si>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</si>
  <si>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</si>
  <si>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</si>
  <si>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</si>
  <si>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</si>
  <si>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</si>
  <si>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</si>
  <si>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</si>
  <si>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</si>
  <si>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</si>
  <si>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</si>
  <si>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</si>
  <si>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</si>
  <si>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</si>
  <si>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</si>
  <si>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</si>
  <si>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</si>
  <si>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</si>
  <si>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</si>
  <si>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</si>
  <si>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</si>
  <si>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</si>
  <si>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</si>
  <si>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</si>
  <si>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</si>
  <si>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</si>
  <si>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</si>
  <si>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</si>
  <si>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</si>
  <si>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</si>
  <si>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</si>
  <si>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</si>
  <si>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</si>
  <si>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</si>
  <si>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</si>
  <si>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</si>
  <si>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</si>
  <si>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</si>
  <si>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</si>
  <si>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</si>
  <si>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</si>
  <si>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</si>
  <si>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</si>
  <si>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</si>
  <si>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</si>
  <si>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</si>
  <si>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</si>
  <si>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</si>
  <si>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</si>
  <si>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</si>
  <si>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</si>
  <si>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</si>
  <si>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</si>
  <si>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</si>
  <si>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</si>
  <si>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</si>
  <si>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</si>
  <si>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</si>
  <si>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</si>
  <si>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</si>
  <si>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</si>
  <si>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</si>
  <si>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</si>
  <si>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</si>
  <si>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</si>
  <si>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</si>
  <si>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</si>
  <si>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</si>
  <si>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</si>
  <si>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</si>
  <si>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</si>
  <si>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</si>
  <si>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</si>
  <si>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</si>
  <si>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</si>
  <si>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</si>
  <si>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</si>
  <si>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</si>
  <si>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</si>
  <si>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</si>
  <si>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</si>
  <si>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</si>
  <si>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</si>
  <si>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</si>
  <si>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</si>
  <si>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</si>
  <si>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</si>
  <si>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</si>
  <si>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</si>
  <si>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</si>
  <si>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</si>
  <si>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</si>
  <si>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</si>
  <si>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</si>
  <si>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</si>
  <si>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</si>
  <si>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</si>
  <si>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</si>
  <si>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</si>
  <si>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</si>
  <si>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</si>
  <si>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</si>
  <si>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</si>
  <si>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</si>
  <si>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</si>
  <si>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</si>
  <si>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</si>
  <si>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</si>
  <si>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</si>
  <si>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</si>
  <si>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</si>
  <si>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</si>
  <si>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</si>
  <si>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</si>
  <si>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</si>
  <si>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</si>
  <si>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</si>
  <si>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</si>
  <si>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</si>
  <si>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</si>
  <si>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</si>
  <si>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</si>
  <si>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</si>
  <si>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</si>
  <si>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</si>
  <si>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</si>
  <si>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</si>
  <si>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</si>
  <si>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</si>
  <si>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</si>
  <si>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</si>
  <si>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</si>
  <si>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</si>
  <si>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</si>
  <si>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</si>
  <si>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</si>
  <si>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</si>
  <si>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</si>
  <si>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</si>
  <si>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</si>
  <si>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</si>
  <si>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</si>
  <si>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</si>
  <si>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</si>
  <si>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</si>
  <si>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</si>
  <si>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</si>
  <si>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</si>
  <si>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</si>
  <si>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</si>
  <si>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</si>
  <si>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</si>
  <si>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</si>
  <si>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</si>
  <si>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</si>
  <si>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</si>
  <si>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</si>
  <si>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</si>
  <si>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</si>
  <si>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</si>
  <si>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</si>
  <si>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</si>
  <si>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</si>
  <si>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</si>
  <si>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</si>
  <si>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</si>
  <si>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</si>
  <si>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</si>
  <si>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</si>
  <si>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</si>
  <si>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</si>
  <si>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</si>
  <si>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</si>
  <si>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</si>
  <si>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</si>
  <si>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</si>
  <si>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</si>
  <si>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</si>
  <si>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</si>
  <si>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</si>
  <si>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</si>
  <si>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</si>
  <si>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</si>
  <si>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</si>
  <si>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</si>
  <si>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</si>
  <si>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</si>
  <si>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</si>
  <si>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</si>
  <si>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</si>
  <si>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</si>
  <si>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</si>
  <si>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</si>
  <si>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</si>
  <si>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</si>
  <si>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</si>
  <si>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</si>
  <si>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</si>
  <si>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</si>
  <si>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</si>
  <si>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</si>
  <si>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</si>
  <si>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</si>
  <si>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</si>
  <si>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</si>
  <si>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</si>
  <si>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</si>
  <si>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</si>
  <si>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</si>
  <si>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</si>
  <si>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</si>
  <si>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</si>
  <si>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</si>
  <si>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</si>
  <si>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</si>
  <si>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</si>
  <si>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</si>
  <si>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</si>
  <si>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</si>
  <si>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</si>
  <si>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</si>
  <si>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</si>
  <si>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</si>
  <si>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</si>
  <si>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</si>
  <si>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</si>
  <si>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</si>
  <si>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</si>
  <si>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</si>
  <si>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</si>
  <si>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</si>
  <si>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</si>
  <si>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</si>
  <si>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</si>
  <si>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</si>
  <si>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</si>
  <si>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</si>
  <si>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</si>
  <si>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</si>
  <si>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</si>
  <si>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</si>
  <si>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</si>
  <si>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</si>
  <si>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</si>
  <si>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</si>
  <si>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</si>
  <si>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</si>
  <si>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</si>
  <si>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</si>
  <si>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</si>
  <si>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</si>
  <si>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</si>
  <si>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</si>
  <si>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</si>
  <si>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</si>
  <si>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</si>
  <si>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</si>
  <si>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</si>
  <si>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</si>
  <si>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</si>
  <si>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</si>
  <si>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</si>
  <si>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</si>
  <si>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</si>
  <si>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</si>
  <si>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</si>
  <si>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</si>
  <si>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</si>
  <si>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</si>
  <si>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</si>
  <si>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</si>
  <si>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</si>
  <si>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</si>
  <si>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</si>
  <si>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</si>
  <si>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</si>
  <si>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</si>
  <si>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</si>
  <si>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</si>
  <si>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</si>
  <si>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</si>
  <si>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</si>
  <si>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</si>
  <si>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</si>
  <si>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</si>
  <si>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</si>
  <si>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</si>
  <si>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</si>
  <si>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</si>
  <si>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</si>
  <si>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</si>
  <si>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</si>
  <si>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</si>
  <si>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</si>
  <si>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</si>
  <si>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</si>
  <si>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</si>
  <si>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</si>
  <si>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</si>
  <si>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</si>
  <si>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</si>
  <si>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</si>
  <si>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</si>
  <si>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</si>
  <si>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</si>
  <si>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</si>
  <si>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</si>
  <si>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</si>
  <si>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</si>
  <si>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</si>
  <si>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</si>
  <si>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</si>
  <si>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</si>
  <si>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</si>
  <si>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</si>
  <si>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</si>
  <si>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</si>
  <si>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</si>
  <si>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</si>
  <si>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</si>
  <si>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</si>
  <si>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</si>
  <si>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</si>
  <si>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</si>
  <si>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</si>
  <si>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</si>
  <si>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</si>
  <si>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</si>
  <si>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</si>
  <si>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</si>
  <si>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</si>
  <si>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</si>
  <si>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</si>
  <si>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</si>
  <si>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</si>
  <si>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</si>
  <si>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</si>
  <si>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</si>
  <si>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</si>
  <si>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</si>
  <si>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</si>
  <si>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</si>
  <si>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</si>
  <si>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</si>
  <si>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</si>
  <si>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</si>
  <si>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</si>
  <si>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</si>
  <si>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</si>
  <si>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</si>
  <si>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</si>
  <si>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</si>
  <si>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</si>
  <si>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</si>
  <si>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</si>
  <si>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</si>
  <si>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</si>
  <si>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</si>
  <si>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</si>
  <si>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</si>
  <si>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</si>
  <si>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</si>
  <si>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</si>
  <si>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</si>
  <si>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</si>
  <si>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</si>
  <si>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</si>
  <si>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</si>
  <si>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</si>
  <si>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</si>
  <si>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</si>
  <si>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</si>
  <si>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</si>
  <si>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</si>
  <si>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</si>
  <si>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</si>
  <si>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</si>
  <si>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</si>
  <si>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</si>
  <si>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</si>
  <si>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</si>
  <si>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</si>
  <si>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</si>
  <si>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</si>
  <si>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</si>
  <si>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</si>
  <si>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</si>
  <si>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</si>
  <si>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</si>
  <si>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</si>
  <si>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</si>
  <si>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</si>
  <si>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</si>
  <si>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</si>
  <si>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</si>
  <si>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</si>
  <si>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</si>
  <si>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</si>
  <si>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</si>
  <si>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</si>
  <si>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</si>
  <si>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</si>
  <si>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</si>
  <si>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</si>
  <si>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</si>
  <si>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</si>
  <si>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</si>
  <si>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</si>
  <si>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</si>
  <si>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</si>
  <si>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</si>
  <si>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</si>
  <si>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</si>
  <si>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</si>
  <si>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</si>
  <si>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</si>
  <si>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</si>
  <si>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</si>
  <si>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</si>
  <si>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</si>
  <si>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</si>
  <si>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</si>
  <si>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</si>
  <si>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</si>
  <si>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</si>
  <si>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</si>
  <si>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</si>
  <si>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</si>
  <si>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</si>
  <si>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</si>
  <si>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</si>
  <si>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</si>
  <si>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</si>
  <si>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</si>
  <si>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</si>
  <si>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</si>
  <si>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</si>
  <si>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</si>
  <si>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</si>
  <si>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</si>
  <si>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</si>
  <si>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</si>
  <si>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</si>
  <si>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</si>
  <si>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</si>
  <si>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</si>
  <si>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</si>
  <si>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</si>
  <si>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</si>
  <si>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</si>
  <si>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</si>
  <si>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</si>
  <si>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</si>
  <si>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</si>
  <si>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</si>
  <si>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</si>
  <si>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</si>
  <si>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</si>
  <si>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</si>
  <si>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</si>
  <si>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</si>
  <si>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</si>
  <si>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</si>
  <si>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</si>
  <si>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</si>
  <si>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</si>
  <si>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</si>
  <si>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</si>
  <si>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</si>
  <si>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</si>
  <si>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</si>
  <si>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</si>
  <si>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</si>
  <si>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</si>
  <si>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</si>
  <si>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</si>
  <si>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</si>
  <si>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</si>
  <si>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</si>
  <si>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</si>
  <si>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</si>
  <si>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</si>
  <si>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</si>
  <si>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</si>
  <si>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</si>
  <si>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</si>
  <si>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</si>
  <si>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</si>
  <si>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</si>
  <si>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</si>
  <si>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</si>
  <si>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</si>
  <si>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</si>
  <si>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</si>
  <si>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</si>
  <si>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</si>
  <si>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</si>
  <si>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</si>
  <si>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</si>
  <si>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</si>
  <si>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</si>
  <si>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</si>
  <si>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</si>
  <si>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</si>
  <si>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</si>
  <si>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</si>
  <si>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</si>
  <si>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</si>
  <si>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</si>
  <si>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</si>
  <si>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</si>
  <si>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</si>
  <si>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</si>
  <si>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</si>
  <si>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</si>
  <si>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</si>
  <si>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</si>
  <si>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</si>
  <si>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</si>
  <si>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</si>
  <si>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</si>
  <si>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</si>
  <si>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</si>
  <si>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</si>
  <si>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</si>
  <si>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</si>
  <si>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</si>
  <si>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</si>
  <si>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</si>
  <si>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</si>
  <si>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</si>
  <si>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</si>
  <si>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</si>
  <si>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</si>
  <si>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</si>
  <si>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</si>
  <si>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</si>
  <si>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</si>
  <si>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</si>
  <si>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</si>
  <si>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</si>
  <si>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</si>
  <si>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</si>
  <si>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</si>
  <si>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</si>
  <si>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</si>
  <si>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</si>
  <si>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</si>
  <si>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</si>
  <si>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</si>
  <si>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</si>
  <si>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</si>
  <si>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</si>
  <si>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</si>
  <si>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</si>
  <si>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</si>
  <si>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</si>
  <si>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</si>
  <si>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</si>
  <si>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</si>
  <si>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</si>
  <si>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</si>
  <si>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</si>
  <si>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</si>
  <si>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</si>
  <si>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</si>
  <si>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</si>
  <si>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</si>
  <si>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</si>
  <si>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</si>
  <si>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</si>
  <si>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</si>
  <si>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</si>
  <si>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</si>
  <si>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</si>
  <si>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</si>
  <si>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</si>
  <si>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</si>
  <si>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</si>
  <si>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</si>
  <si>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</si>
  <si>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</si>
  <si>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</si>
  <si>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</si>
  <si>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</si>
  <si>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</si>
  <si>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</si>
  <si>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</si>
  <si>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</si>
  <si>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</si>
  <si>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</si>
  <si>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</si>
  <si>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</si>
  <si>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</si>
  <si>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</si>
  <si>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</si>
  <si>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</si>
  <si>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</si>
  <si>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</si>
  <si>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</si>
  <si>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</si>
  <si>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</si>
  <si>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</si>
  <si>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</si>
  <si>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</si>
  <si>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</si>
  <si>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</si>
  <si>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</si>
  <si>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</si>
  <si>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</si>
  <si>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</si>
  <si>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</si>
  <si>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</si>
  <si>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</si>
  <si>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</si>
  <si>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</si>
  <si>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</si>
  <si>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</si>
  <si>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</si>
  <si>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</si>
  <si>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</si>
  <si>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</si>
  <si>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</si>
  <si>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</si>
  <si>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</si>
  <si>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</si>
  <si>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</si>
  <si>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</si>
  <si>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</si>
  <si>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</si>
  <si>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</si>
  <si>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</si>
  <si>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</si>
  <si>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</si>
  <si>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</si>
  <si>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</si>
  <si>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</si>
  <si>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</si>
  <si>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</si>
  <si>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</si>
  <si>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</si>
  <si>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</si>
  <si>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</si>
  <si>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</si>
  <si>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</si>
  <si>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</si>
  <si>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</si>
  <si>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</si>
  <si>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</si>
  <si>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</si>
  <si>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</si>
  <si>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</si>
  <si>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</si>
  <si>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</si>
  <si>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</si>
  <si>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</si>
  <si>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</si>
  <si>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</si>
  <si>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</si>
  <si>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</si>
  <si>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</si>
  <si>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</si>
  <si>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</si>
  <si>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</si>
  <si>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</si>
  <si>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</si>
  <si>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</si>
  <si>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</si>
  <si>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</si>
  <si>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</si>
  <si>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</si>
  <si>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</si>
  <si>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</si>
  <si>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</si>
  <si>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</si>
  <si>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</si>
  <si>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</si>
  <si>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</si>
  <si>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</si>
  <si>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</si>
  <si>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</si>
  <si>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</si>
  <si>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</si>
  <si>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</si>
  <si>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</si>
  <si>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</si>
  <si>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</si>
  <si>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</si>
  <si>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</si>
  <si>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</si>
  <si>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</si>
  <si>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</si>
  <si>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</si>
  <si>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</si>
  <si>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</si>
  <si>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</si>
  <si>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</si>
  <si>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</si>
  <si>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</si>
  <si>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</si>
  <si>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</si>
  <si>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</si>
  <si>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</si>
  <si>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</si>
  <si>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</si>
  <si>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</si>
  <si>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</si>
  <si>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</si>
  <si>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</si>
  <si>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</si>
  <si>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</si>
  <si>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</si>
  <si>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</si>
  <si>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</si>
  <si>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</si>
  <si>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</si>
  <si>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</si>
  <si>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</si>
  <si>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</si>
  <si>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</si>
  <si>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</si>
  <si>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</si>
  <si>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</si>
  <si>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</si>
  <si>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</si>
  <si>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</si>
  <si>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</si>
  <si>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</si>
  <si>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</si>
  <si>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</si>
  <si>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</si>
  <si>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</si>
  <si>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</si>
  <si>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</si>
  <si>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</si>
  <si>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</si>
  <si>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</si>
  <si>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</si>
  <si>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</si>
  <si>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</si>
  <si>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</si>
  <si>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</si>
  <si>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</si>
  <si>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</si>
  <si>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</si>
  <si>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</si>
  <si>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</si>
  <si>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</si>
  <si>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</si>
  <si>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</si>
  <si>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</si>
  <si>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</si>
  <si>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</si>
  <si>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</si>
  <si>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</si>
  <si>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</si>
  <si>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</si>
  <si>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</si>
  <si>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</si>
  <si>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</si>
  <si>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</si>
  <si>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</si>
  <si>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</si>
  <si>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</si>
  <si>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</si>
  <si>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</si>
  <si>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</si>
  <si>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</si>
  <si>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</si>
  <si>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</si>
  <si>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</si>
  <si>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</si>
  <si>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</si>
  <si>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</si>
  <si>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</si>
  <si>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</si>
  <si>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</si>
  <si>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</si>
  <si>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</si>
  <si>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</si>
  <si>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</si>
  <si>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</si>
  <si>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</si>
  <si>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</si>
  <si>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</si>
  <si>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</si>
  <si>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</si>
  <si>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</si>
  <si>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</si>
  <si>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</si>
  <si>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</si>
  <si>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</si>
  <si>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</si>
  <si>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</si>
  <si>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</si>
  <si>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</si>
  <si>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</si>
  <si>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</si>
  <si>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</si>
  <si>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</si>
  <si>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</si>
  <si>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</si>
  <si>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</si>
  <si>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</si>
  <si>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</si>
  <si>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</si>
  <si>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</si>
  <si>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</si>
  <si>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</si>
  <si>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</si>
  <si>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</si>
  <si>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</si>
  <si>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</si>
  <si>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</si>
  <si>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</si>
  <si>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</si>
  <si>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</si>
  <si>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</si>
  <si>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</si>
  <si>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</si>
  <si>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</si>
  <si>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</si>
  <si>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</si>
  <si>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</si>
  <si>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</si>
  <si>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</si>
  <si>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</si>
  <si>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</si>
  <si>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</si>
  <si>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</si>
  <si>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</si>
  <si>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</si>
  <si>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</si>
  <si>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</si>
  <si>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</si>
  <si>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</si>
  <si>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</si>
  <si>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</si>
  <si>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</si>
  <si>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</si>
  <si>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</si>
  <si>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</si>
  <si>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</si>
  <si>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</si>
  <si>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</si>
  <si>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</si>
  <si>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</si>
  <si>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</si>
  <si>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</si>
  <si>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</si>
  <si>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</si>
  <si>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</si>
  <si>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</si>
  <si>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</si>
  <si>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</si>
  <si>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</si>
  <si>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</si>
  <si>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</si>
  <si>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</si>
  <si>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</si>
  <si>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</si>
  <si>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</si>
  <si>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</si>
  <si>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</si>
  <si>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</si>
  <si>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</si>
  <si>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</si>
  <si>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</si>
  <si>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</si>
  <si>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</si>
  <si>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</si>
  <si>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</si>
  <si>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</si>
  <si>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</si>
  <si>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</si>
  <si>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</si>
  <si>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</si>
  <si>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</si>
  <si>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</si>
  <si>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</si>
  <si>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</si>
  <si>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</si>
  <si>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</si>
  <si>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</si>
  <si>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</si>
  <si>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</si>
  <si>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</si>
  <si>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</si>
  <si>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</si>
  <si>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</si>
  <si>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</si>
  <si>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</si>
  <si>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</si>
  <si>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</si>
  <si>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</si>
  <si>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</si>
  <si>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</si>
  <si>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</si>
  <si>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</si>
  <si>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</si>
  <si>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</si>
  <si>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</si>
  <si>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</si>
  <si>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</si>
  <si>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</si>
  <si>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</si>
  <si>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</si>
  <si>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</si>
  <si>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</si>
  <si>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</si>
  <si>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</si>
  <si>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</si>
  <si>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</si>
  <si>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</si>
  <si>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</si>
  <si>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</si>
  <si>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</si>
  <si>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</si>
  <si>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</si>
  <si>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</si>
  <si>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</si>
  <si>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</si>
  <si>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</si>
  <si>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</si>
  <si>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</si>
  <si>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</si>
  <si>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</si>
  <si>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</si>
  <si>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</si>
  <si>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</si>
  <si>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</si>
  <si>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</si>
  <si>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</si>
  <si>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</si>
  <si>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</si>
  <si>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</si>
  <si>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</si>
  <si>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</si>
  <si>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</si>
  <si>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</si>
  <si>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</si>
  <si>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</si>
  <si>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</si>
  <si>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</si>
  <si>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</si>
  <si>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</si>
  <si>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</si>
  <si>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</si>
  <si>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</si>
  <si>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</si>
  <si>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</si>
  <si>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</si>
  <si>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</si>
  <si>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</si>
  <si>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</si>
  <si>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</si>
  <si>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</si>
  <si>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</si>
  <si>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</si>
  <si>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</si>
  <si>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</si>
  <si>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</si>
  <si>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</si>
  <si>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</si>
  <si>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</si>
  <si>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</si>
  <si>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</si>
  <si>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</si>
  <si>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</si>
  <si>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</si>
  <si>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</si>
  <si>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</si>
  <si>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</si>
  <si>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</si>
  <si>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</si>
  <si>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</si>
  <si>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</si>
  <si>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</si>
  <si>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</si>
  <si>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</si>
  <si>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</si>
  <si>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</si>
  <si>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</si>
  <si>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</si>
  <si>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</si>
  <si>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</si>
  <si>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</si>
  <si>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</si>
  <si>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</si>
  <si>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</si>
  <si>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</si>
  <si>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</si>
  <si>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</si>
  <si>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</si>
  <si>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</si>
  <si>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</si>
  <si>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</si>
  <si>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</si>
  <si>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</si>
  <si>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</si>
  <si>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</si>
  <si>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</si>
  <si>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</si>
  <si>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</si>
  <si>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</si>
  <si>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</si>
  <si>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</si>
  <si>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</si>
  <si>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</si>
  <si>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</si>
  <si>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</si>
  <si>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</si>
  <si>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</si>
  <si>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</si>
  <si>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</si>
  <si>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</si>
  <si>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</si>
  <si>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</si>
  <si>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</si>
  <si>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</si>
  <si>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</si>
  <si>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</si>
  <si>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</si>
  <si>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</si>
  <si>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</si>
  <si>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</si>
  <si>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</si>
  <si>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</si>
  <si>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</si>
  <si>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</si>
  <si>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</si>
  <si>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</si>
  <si>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</si>
  <si>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</si>
  <si>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</si>
  <si>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</si>
  <si>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</si>
  <si>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</si>
  <si>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</si>
  <si>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</si>
  <si>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</si>
  <si>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</si>
  <si>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</si>
  <si>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</si>
  <si>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</si>
  <si>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</si>
  <si>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</si>
  <si>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</si>
  <si>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</si>
  <si>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</si>
  <si>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</si>
  <si>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</si>
  <si>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</si>
  <si>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</si>
  <si>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</si>
  <si>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</si>
  <si>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</si>
  <si>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</si>
  <si>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</si>
  <si>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</si>
  <si>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</si>
  <si>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</si>
  <si>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</si>
  <si>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</si>
  <si>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</si>
  <si>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</si>
  <si>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</si>
  <si>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</si>
  <si>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</si>
  <si>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</si>
  <si>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</si>
  <si>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</si>
  <si>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</si>
  <si>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</si>
  <si>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</si>
  <si>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</si>
  <si>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</si>
  <si>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</si>
  <si>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</si>
  <si>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</si>
  <si>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</si>
  <si>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</si>
  <si>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</si>
  <si>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</si>
  <si>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</si>
  <si>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</si>
  <si>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</si>
  <si>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</si>
  <si>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</si>
  <si>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</si>
  <si>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</si>
  <si>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</si>
  <si>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</si>
  <si>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</si>
  <si>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</si>
  <si>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</si>
  <si>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</si>
  <si>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</si>
  <si>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</si>
  <si>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</si>
  <si>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</si>
  <si>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</si>
  <si>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</si>
  <si>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</si>
  <si>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</si>
  <si>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</si>
  <si>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</si>
  <si>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</si>
  <si>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</si>
  <si>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</si>
  <si>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</si>
  <si>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</si>
  <si>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</si>
  <si>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</si>
  <si>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</si>
  <si>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</si>
  <si>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</si>
  <si>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</si>
  <si>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</si>
  <si>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</si>
  <si>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</si>
  <si>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</si>
  <si>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</si>
  <si>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</si>
  <si>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</si>
  <si>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</si>
  <si>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</si>
  <si>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</si>
  <si>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</si>
  <si>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</si>
  <si>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</si>
  <si>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</si>
  <si>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</si>
  <si>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</si>
  <si>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</si>
  <si>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</si>
  <si>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</si>
  <si>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</si>
  <si>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</si>
  <si>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</si>
  <si>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</si>
  <si>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</si>
  <si>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</si>
  <si>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</si>
  <si>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</si>
  <si>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</si>
  <si>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</si>
  <si>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</si>
  <si>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</si>
  <si>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</si>
  <si>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</si>
  <si>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</si>
  <si>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</si>
  <si>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</si>
  <si>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</si>
  <si>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</si>
  <si>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</si>
  <si>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</si>
  <si>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</si>
  <si>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</si>
  <si>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</si>
  <si>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</si>
  <si>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</si>
  <si>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</si>
  <si>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</si>
  <si>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</si>
  <si>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</si>
  <si>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</si>
  <si>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</si>
  <si>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</si>
  <si>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</si>
  <si>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</si>
  <si>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</si>
  <si>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</si>
  <si>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</si>
  <si>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</si>
  <si>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</si>
  <si>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</si>
  <si>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</si>
  <si>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</si>
  <si>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</si>
  <si>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</si>
  <si>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</si>
  <si>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</si>
  <si>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</si>
  <si>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</si>
  <si>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</si>
  <si>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</si>
  <si>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</si>
  <si>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</si>
  <si>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</si>
  <si>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</si>
  <si>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</si>
  <si>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</si>
  <si>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</si>
  <si>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</si>
  <si>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</si>
  <si>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</si>
  <si>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</si>
  <si>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</si>
  <si>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</si>
  <si>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</si>
  <si>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</si>
  <si>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</si>
  <si>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</si>
  <si>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</si>
  <si>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</si>
  <si>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</si>
  <si>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</si>
  <si>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</si>
  <si>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</si>
  <si>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</si>
  <si>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</si>
  <si>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</si>
  <si>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</si>
  <si>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</si>
  <si>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</si>
  <si>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</si>
  <si>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</si>
  <si>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</si>
  <si>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</si>
  <si>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</si>
  <si>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</si>
  <si>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</si>
  <si>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</si>
  <si>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</si>
  <si>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</si>
  <si>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</si>
  <si>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</si>
  <si>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</si>
  <si>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</si>
  <si>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</si>
  <si>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</si>
  <si>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</si>
  <si>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</si>
  <si>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</si>
  <si>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</si>
  <si>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</si>
  <si>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</si>
  <si>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</si>
  <si>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</si>
  <si>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</si>
  <si>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</si>
  <si>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</si>
  <si>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</si>
  <si>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</si>
  <si>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</si>
  <si>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</si>
  <si>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</si>
  <si>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</si>
  <si>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</si>
  <si>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</si>
  <si>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</si>
  <si>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</si>
  <si>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</si>
  <si>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</si>
  <si>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</si>
  <si>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</si>
  <si>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</si>
  <si>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</si>
  <si>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</si>
  <si>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</si>
  <si>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</si>
  <si>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</si>
  <si>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</si>
  <si>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</si>
  <si>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</si>
  <si>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</si>
  <si>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</si>
  <si>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</si>
  <si>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</si>
  <si>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</si>
  <si>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</si>
  <si>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</si>
  <si>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</si>
  <si>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</si>
  <si>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</si>
  <si>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</si>
  <si>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</si>
  <si>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</si>
  <si>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</si>
  <si>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</si>
  <si>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</si>
  <si>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</si>
  <si>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</si>
  <si>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</si>
  <si>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</si>
  <si>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</si>
  <si>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</si>
  <si>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</si>
  <si>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</si>
  <si>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</si>
  <si>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</si>
  <si>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</si>
  <si>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</si>
  <si>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</si>
  <si>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</si>
  <si>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</si>
  <si>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</si>
  <si>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</si>
  <si>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</si>
  <si>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</si>
  <si>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</si>
  <si>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</si>
  <si>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</si>
  <si>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</si>
  <si>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</si>
  <si>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</si>
  <si>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</si>
  <si>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</si>
  <si>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</si>
  <si>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</si>
  <si>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</si>
  <si>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</si>
  <si>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</si>
  <si>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</si>
  <si>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</si>
  <si>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</si>
  <si>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</si>
  <si>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</si>
  <si>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</si>
  <si>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</si>
  <si>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</si>
  <si>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</si>
  <si>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</si>
  <si>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</si>
  <si>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</si>
  <si>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</si>
  <si>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</si>
  <si>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</si>
  <si>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</si>
  <si>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</si>
  <si>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</si>
  <si>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</si>
  <si>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</si>
  <si>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</si>
  <si>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</si>
  <si>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</si>
  <si>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</si>
  <si>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</si>
  <si>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</si>
  <si>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</si>
  <si>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</si>
  <si>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</si>
  <si>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</si>
  <si>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</si>
  <si>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</si>
  <si>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</si>
  <si>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</si>
  <si>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</si>
  <si>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</si>
  <si>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</si>
  <si>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</si>
  <si>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</si>
  <si>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</si>
  <si>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</si>
  <si>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</si>
  <si>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</si>
  <si>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</si>
  <si>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</si>
  <si>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</si>
  <si>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</si>
  <si>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</si>
  <si>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</si>
  <si>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</si>
  <si>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</si>
  <si>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</si>
  <si>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</si>
  <si>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</si>
  <si>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</si>
  <si>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</si>
  <si>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</si>
  <si>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</si>
  <si>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</si>
  <si>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</si>
  <si>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</si>
  <si>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</si>
  <si>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</si>
  <si>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</si>
  <si>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</si>
  <si>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</si>
  <si>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</si>
  <si>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</si>
  <si>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</si>
  <si>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</si>
  <si>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</si>
  <si>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</si>
  <si>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</si>
  <si>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</si>
  <si>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</si>
  <si>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</si>
  <si>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</si>
  <si>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</si>
  <si>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</si>
  <si>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</si>
  <si>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</si>
  <si>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</si>
  <si>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</si>
  <si>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</si>
  <si>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</si>
  <si>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</si>
  <si>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</si>
  <si>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</si>
  <si>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</si>
  <si>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</si>
  <si>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</si>
  <si>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</si>
  <si>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</si>
  <si>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</si>
  <si>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</si>
  <si>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</si>
  <si>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</si>
  <si>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</si>
  <si>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</si>
  <si>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</si>
  <si>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</si>
  <si>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</si>
  <si>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</si>
  <si>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</si>
  <si>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</si>
  <si>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</si>
  <si>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</si>
  <si>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</si>
  <si>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</si>
  <si>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</si>
  <si>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</si>
  <si>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</si>
  <si>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</si>
  <si>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</si>
  <si>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</si>
  <si>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</si>
  <si>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</si>
  <si>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</si>
  <si>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</si>
  <si>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</si>
  <si>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</si>
  <si>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</si>
  <si>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</si>
  <si>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</si>
  <si>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</si>
  <si>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</si>
  <si>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</si>
  <si>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</si>
  <si>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</si>
  <si>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</si>
  <si>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</si>
  <si>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</si>
  <si>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</si>
  <si>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</si>
  <si>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</si>
  <si>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</si>
  <si>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</si>
  <si>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</si>
  <si>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</si>
  <si>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</si>
  <si>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</si>
  <si>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</si>
  <si>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</si>
  <si>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</si>
  <si>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</si>
  <si>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</si>
  <si>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</si>
  <si>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</si>
  <si>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</si>
  <si>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</si>
  <si>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</si>
  <si>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</si>
  <si>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</si>
  <si>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</si>
  <si>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</si>
  <si>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</si>
  <si>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</si>
  <si>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</si>
  <si>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</si>
  <si>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</si>
  <si>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</si>
  <si>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</si>
  <si>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</si>
  <si>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</si>
  <si>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</si>
  <si>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</si>
  <si>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</si>
  <si>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</si>
  <si>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</si>
  <si>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</si>
  <si>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</si>
  <si>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</si>
  <si>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</si>
  <si>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</si>
  <si>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</si>
  <si>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</si>
  <si>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</si>
  <si>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</si>
  <si>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</si>
  <si>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</si>
  <si>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</si>
  <si>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</si>
  <si>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</si>
  <si>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</si>
  <si>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</si>
  <si>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</si>
  <si>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</si>
  <si>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</si>
  <si>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</si>
  <si>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</si>
  <si>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</si>
  <si>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</si>
  <si>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</si>
  <si>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</si>
  <si>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</si>
  <si>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</si>
  <si>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</si>
  <si>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</si>
  <si>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</si>
  <si>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</si>
  <si>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</si>
  <si>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</si>
  <si>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</si>
  <si>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</si>
  <si>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</si>
  <si>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</si>
  <si>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</si>
  <si>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</si>
  <si>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</si>
  <si>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</si>
  <si>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</si>
  <si>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</si>
  <si>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</si>
  <si>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</si>
  <si>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</si>
  <si>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</si>
  <si>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</si>
  <si>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</si>
  <si>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</si>
  <si>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</si>
  <si>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</si>
  <si>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</si>
  <si>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</si>
  <si>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</si>
  <si>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</si>
  <si>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</si>
  <si>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</si>
  <si>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</si>
  <si>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</si>
  <si>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</si>
  <si>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</si>
  <si>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</si>
  <si>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</si>
  <si>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</si>
  <si>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</si>
  <si>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</si>
  <si>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</si>
  <si>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</si>
  <si>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</si>
  <si>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</si>
  <si>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</si>
  <si>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</si>
  <si>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</si>
  <si>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</si>
  <si>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</si>
  <si>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</si>
  <si>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</si>
  <si>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</si>
  <si>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</si>
  <si>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</si>
  <si>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</si>
  <si>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</si>
  <si>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</si>
  <si>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</si>
  <si>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</si>
  <si>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</si>
  <si>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</si>
  <si>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</si>
  <si>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</si>
  <si>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</si>
  <si>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</si>
  <si>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</si>
  <si>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</si>
  <si>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</si>
  <si>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</si>
  <si>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</si>
  <si>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</si>
  <si>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</si>
  <si>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</si>
  <si>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</si>
  <si>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</si>
  <si>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</si>
  <si>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</si>
  <si>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</si>
  <si>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</si>
  <si>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</si>
  <si>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</si>
  <si>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</si>
  <si>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</si>
  <si>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</si>
  <si>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</si>
  <si>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</si>
  <si>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</si>
  <si>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</si>
  <si>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</si>
  <si>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</si>
  <si>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</si>
  <si>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</si>
  <si>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</si>
  <si>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</si>
  <si>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</si>
  <si>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</si>
  <si>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</si>
  <si>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</si>
  <si>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</si>
  <si>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</si>
  <si>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</si>
  <si>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</si>
  <si>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</si>
  <si>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</si>
  <si>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</si>
  <si>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</si>
  <si>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</si>
  <si>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</si>
  <si>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</si>
  <si>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</si>
  <si>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</si>
  <si>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</si>
  <si>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</si>
  <si>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</si>
  <si>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</si>
  <si>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</si>
  <si>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</si>
  <si>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</si>
  <si>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</si>
  <si>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</si>
  <si>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</si>
  <si>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</si>
  <si>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</si>
  <si>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</si>
  <si>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</si>
  <si>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</si>
  <si>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</si>
  <si>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</si>
  <si>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</si>
  <si>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</si>
  <si>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</si>
  <si>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</si>
  <si>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</si>
  <si>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</si>
  <si>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</si>
  <si>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</si>
  <si>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</si>
  <si>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</si>
  <si>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</si>
  <si>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</si>
  <si>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</si>
  <si>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</si>
  <si>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</si>
  <si>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</si>
  <si>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</si>
  <si>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</si>
  <si>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</si>
  <si>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</si>
  <si>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</si>
  <si>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</si>
  <si>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</si>
  <si>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</si>
  <si>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</si>
  <si>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</si>
  <si>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</si>
  <si>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</si>
  <si>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</si>
  <si>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</si>
  <si>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</si>
  <si>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</si>
  <si>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</si>
  <si>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</si>
  <si>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</si>
  <si>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</si>
  <si>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</si>
  <si>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</si>
  <si>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</si>
  <si>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</si>
  <si>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</si>
  <si>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</si>
  <si>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</si>
  <si>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</si>
  <si>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</si>
  <si>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</si>
  <si>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</si>
  <si>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</si>
  <si>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</si>
  <si>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</si>
  <si>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</si>
  <si>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</si>
  <si>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</si>
  <si>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</si>
  <si>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</si>
  <si>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</si>
  <si>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</si>
  <si>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</si>
  <si>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</si>
  <si>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</si>
  <si>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</si>
  <si>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</si>
  <si>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</si>
  <si>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</si>
  <si>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</si>
  <si>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</si>
  <si>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</si>
  <si>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</si>
  <si>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</si>
  <si>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</si>
  <si>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</si>
  <si>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</si>
  <si>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</si>
  <si>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</si>
  <si>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</si>
  <si>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</si>
  <si>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</si>
  <si>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</si>
  <si>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</si>
  <si>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</si>
  <si>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</si>
  <si>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</si>
  <si>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</si>
  <si>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</si>
  <si>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</si>
  <si>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</si>
  <si>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</si>
  <si>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</si>
  <si>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</si>
  <si>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</si>
  <si>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</si>
  <si>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</si>
  <si>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</si>
  <si>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</si>
  <si>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</si>
  <si>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</si>
  <si>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</si>
  <si>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</si>
  <si>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</si>
  <si>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</si>
  <si>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</si>
  <si>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</si>
  <si>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</si>
  <si>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</si>
  <si>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</si>
  <si>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</si>
  <si>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</si>
  <si>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</si>
  <si>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</si>
  <si>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</si>
  <si>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</si>
  <si>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</si>
  <si>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</si>
  <si>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</si>
  <si>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</si>
  <si>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</si>
  <si>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</si>
  <si>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</si>
  <si>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</si>
  <si>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</si>
  <si>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</si>
  <si>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</si>
  <si>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</si>
  <si>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</si>
  <si>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</si>
  <si>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</si>
  <si>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</si>
  <si>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</si>
  <si>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</si>
  <si>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</si>
  <si>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</si>
  <si>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</si>
  <si>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</si>
  <si>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</si>
  <si>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</si>
  <si>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</si>
  <si>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</si>
  <si>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</si>
  <si>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</si>
  <si>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</si>
  <si>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</si>
  <si>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</si>
  <si>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</si>
  <si>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</si>
  <si>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</si>
  <si>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</si>
  <si>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</si>
  <si>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</si>
  <si>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</si>
  <si>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</si>
  <si>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</si>
  <si>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</si>
  <si>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</si>
  <si>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</si>
  <si>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</si>
  <si>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</si>
  <si>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</si>
  <si>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</si>
  <si>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</si>
  <si>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</si>
  <si>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</si>
  <si>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</si>
  <si>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</si>
  <si>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</si>
  <si>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</si>
  <si>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</si>
  <si>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</si>
  <si>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</si>
  <si>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</si>
  <si>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</si>
  <si>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</si>
  <si>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</si>
  <si>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</si>
  <si>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</si>
  <si>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</si>
  <si>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</si>
  <si>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</si>
  <si>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</si>
  <si>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</si>
  <si>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</si>
  <si>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</si>
  <si>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</si>
  <si>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</si>
  <si>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</si>
  <si>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</si>
  <si>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</si>
  <si>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</si>
  <si>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</si>
  <si>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</si>
  <si>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</si>
  <si>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</si>
  <si>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</si>
  <si>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</si>
  <si>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</si>
  <si>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</si>
  <si>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</si>
  <si>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</si>
  <si>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</si>
  <si>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</si>
  <si>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</si>
  <si>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</si>
  <si>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</si>
  <si>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</si>
  <si>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</si>
  <si>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</si>
  <si>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</si>
  <si>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</si>
  <si>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</si>
  <si>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</si>
  <si>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</si>
  <si>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</si>
  <si>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</si>
  <si>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</si>
  <si>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</si>
  <si>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</si>
  <si>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</si>
  <si>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</si>
  <si>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</si>
  <si>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</si>
  <si>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</si>
  <si>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</si>
  <si>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</si>
  <si>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</si>
  <si>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</si>
  <si>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</si>
  <si>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</si>
  <si>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</si>
  <si>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Medium</t>
  </si>
  <si>
    <t>Dark</t>
  </si>
  <si>
    <t/>
  </si>
  <si>
    <t>Light</t>
  </si>
  <si>
    <t>Details for Sum of Sales - Country: 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</si>
</sst>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9" formatCode="_([$$-409]* #,##0.00_);_([$$-409]* \(#,##0.00\);_([$$-409]* &quot;-&quot;??_);_(@_)"/>
    <numFmt numFmtId="170" formatCode="_([$$-409]* #,##0_);_([$$-409]* \(#,##0\);_([$$-409]* &quot;-&quot;_);_(@_)"/>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37" fontId="0" fillId="0" borderId="0" xfId="0" applyNumberFormat="1"/>
    <xf numFmtId="14" fontId="0" fillId="0" borderId="0" xfId="0" applyNumberFormat="1"/>
    <xf numFmtId="0" fontId="2" fillId="0" borderId="0" xfId="0" applyFont="1"/>
    <xf numFmtId="170" fontId="0" fillId="0" borderId="0" xfId="0" applyNumberFormat="1"/>
  </cellXfs>
  <cellStyles count="1">
    <cellStyle name="Normal" xfId="0" builtinId="0"/>
  </cellStyles>
  <dxfs count="17">
    <dxf>
      <numFmt numFmtId="19" formatCode="m/d/yyyy"/>
    </dxf>
    <dxf>
      <font>
        <b/>
        <i/>
        <color theme="7" tint="-0.499984740745262"/>
      </font>
    </dxf>
    <dxf>
      <font>
        <b val="0"/>
        <i val="0"/>
        <sz val="10"/>
        <name val="Calibri"/>
        <family val="2"/>
        <scheme val="minor"/>
      </font>
      <fill>
        <patternFill>
          <bgColor theme="7" tint="0.59996337778862885"/>
        </patternFill>
      </fill>
      <border>
        <left style="thin">
          <color auto="1"/>
        </left>
        <right style="thin">
          <color auto="1"/>
        </right>
        <top style="thin">
          <color auto="1"/>
        </top>
        <bottom style="thin">
          <color auto="1"/>
        </bottom>
      </border>
    </dxf>
    <dxf>
      <numFmt numFmtId="0" formatCode="General"/>
    </dxf>
    <dxf>
      <font>
        <b/>
        <sz val="11"/>
        <color theme="1"/>
      </font>
    </dxf>
    <dxf>
      <font>
        <b val="0"/>
        <i val="0"/>
        <sz val="10"/>
        <name val="Calibri"/>
        <family val="2"/>
        <scheme val="minor"/>
      </font>
      <fill>
        <patternFill patternType="solid">
          <fgColor theme="0"/>
          <bgColor theme="7"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_([$$-409]* \(#,##0.00\);_([$$-409]* &quot;-&quot;??_);_(@_)"/>
    </dxf>
    <dxf>
      <numFmt numFmtId="169"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New StyleSlicer" pivot="0" table="0" count="5" xr9:uid="{D4EADFD6-824F-4588-BDED-C5BEB521CA17}">
      <tableStyleElement type="wholeTable" dxfId="2"/>
      <tableStyleElement type="headerRow" dxfId="1"/>
    </tableStyle>
    <tableStyle name="New Timeline Style" pivot="0" table="0" count="8" xr9:uid="{2971C27E-558D-4DF1-8812-F6AD6E1AFA9B}">
      <tableStyleElement type="wholeTable" dxfId="5"/>
      <tableStyleElement type="headerRow" dxfId="4"/>
    </tableStyle>
  </tableStyles>
  <colors>
    <mruColors>
      <color rgb="FFFFFF99"/>
    </mruColors>
  </colors>
  <extLst>
    <ext xmlns:x14="http://schemas.microsoft.com/office/spreadsheetml/2009/9/main" uri="{46F421CA-312F-682f-3DD2-61675219B42D}">
      <x14:dxfs count="3">
        <dxf>
          <fill>
            <patternFill>
              <bgColor theme="7" tint="0.79998168889431442"/>
            </patternFill>
          </fill>
        </dxf>
        <dxf>
          <fill>
            <patternFill>
              <bgColor theme="7" tint="-0.24994659260841701"/>
            </patternFill>
          </fill>
        </dxf>
        <dxf>
          <fill>
            <patternFill>
              <bgColor theme="7" tint="0.7999816888943144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New StyleSlicer">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0691854609822"/>
              <bgColor theme="7" tint="0.79998168889431442"/>
            </patternFill>
          </fill>
          <border>
            <left style="thin">
              <color auto="1"/>
            </left>
            <right style="thin">
              <color auto="1"/>
            </right>
            <top style="thin">
              <color auto="1"/>
            </top>
            <bottom style="thin">
              <color auto="1"/>
            </bottom>
          </border>
        </dxf>
        <dxf>
          <fill>
            <patternFill patternType="solid">
              <fgColor theme="0"/>
              <bgColor theme="7" tint="-0.24994659260841701"/>
            </patternFill>
          </fill>
          <border>
            <left style="thin">
              <color auto="1"/>
            </left>
            <right style="thin">
              <color auto="1"/>
            </right>
            <top style="thin">
              <color auto="1"/>
            </top>
            <bottom style="thin">
              <color auto="1"/>
            </bottom>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New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a:t>
            </a:r>
            <a:r>
              <a:rPr lang="en-US" baseline="0"/>
              <a:t> Over Times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CB2-4509-A277-5A232C2A12AE}"/>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CB2-4509-A277-5A232C2A12AE}"/>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CB2-4509-A277-5A232C2A12AE}"/>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FCB2-4509-A277-5A232C2A12AE}"/>
            </c:ext>
          </c:extLst>
        </c:ser>
        <c:dLbls>
          <c:showLegendKey val="0"/>
          <c:showVal val="0"/>
          <c:showCatName val="0"/>
          <c:showSerName val="0"/>
          <c:showPercent val="0"/>
          <c:showBubbleSize val="0"/>
        </c:dLbls>
        <c:smooth val="0"/>
        <c:axId val="1204798704"/>
        <c:axId val="991368400"/>
      </c:lineChart>
      <c:catAx>
        <c:axId val="120479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1368400"/>
        <c:crosses val="autoZero"/>
        <c:auto val="1"/>
        <c:lblAlgn val="ctr"/>
        <c:lblOffset val="100"/>
        <c:noMultiLvlLbl val="0"/>
      </c:catAx>
      <c:valAx>
        <c:axId val="991368400"/>
        <c:scaling>
          <c:orientation val="minMax"/>
        </c:scaling>
        <c:delete val="0"/>
        <c:axPos val="l"/>
        <c:majorGridlines>
          <c:spPr>
            <a:ln w="9525" cap="flat" cmpd="sng" algn="ctr">
              <a:solidFill>
                <a:schemeClr val="accent6">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479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75000"/>
            </a:schemeClr>
          </a:solidFill>
          <a:ln>
            <a:noFill/>
          </a:ln>
          <a:effectLst/>
        </c:spPr>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0-42A3-4419-B443-29B9910CBF46}"/>
              </c:ext>
            </c:extLst>
          </c:dPt>
          <c:dPt>
            <c:idx val="1"/>
            <c:invertIfNegative val="0"/>
            <c:bubble3D val="0"/>
            <c:extLst>
              <c:ext xmlns:c16="http://schemas.microsoft.com/office/drawing/2014/chart" uri="{C3380CC4-5D6E-409C-BE32-E72D297353CC}">
                <c16:uniqueId val="{00000001-42A3-4419-B443-29B9910CBF46}"/>
              </c:ext>
            </c:extLst>
          </c:dPt>
          <c:dPt>
            <c:idx val="2"/>
            <c:invertIfNegative val="0"/>
            <c:bubble3D val="0"/>
            <c:extLst>
              <c:ext xmlns:c16="http://schemas.microsoft.com/office/drawing/2014/chart" uri="{C3380CC4-5D6E-409C-BE32-E72D297353CC}">
                <c16:uniqueId val="{00000002-42A3-4419-B443-29B9910CBF46}"/>
              </c:ext>
            </c:extLst>
          </c:dPt>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2A3-4419-B443-29B9910CBF46}"/>
            </c:ext>
          </c:extLst>
        </c:ser>
        <c:dLbls>
          <c:showLegendKey val="0"/>
          <c:showVal val="0"/>
          <c:showCatName val="0"/>
          <c:showSerName val="0"/>
          <c:showPercent val="0"/>
          <c:showBubbleSize val="0"/>
        </c:dLbls>
        <c:gapWidth val="182"/>
        <c:axId val="1325651776"/>
        <c:axId val="1289190864"/>
      </c:barChart>
      <c:catAx>
        <c:axId val="132565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90864"/>
        <c:crosses val="autoZero"/>
        <c:auto val="1"/>
        <c:lblAlgn val="ctr"/>
        <c:lblOffset val="100"/>
        <c:noMultiLvlLbl val="0"/>
      </c:catAx>
      <c:valAx>
        <c:axId val="1289190864"/>
        <c:scaling>
          <c:orientation val="minMax"/>
        </c:scaling>
        <c:delete val="0"/>
        <c:axPos val="b"/>
        <c:majorGridlines>
          <c:spPr>
            <a:ln w="9525" cap="flat" cmpd="sng" algn="ctr">
              <a:solidFill>
                <a:schemeClr val="bg1">
                  <a:lumMod val="7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75000"/>
            </a:schemeClr>
          </a:solidFill>
          <a:ln>
            <a:noFill/>
          </a:ln>
          <a:effectLst/>
        </c:spPr>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75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2D2E-4DCE-B3D6-C1B0D5098D2F}"/>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2D2E-4DCE-B3D6-C1B0D5098D2F}"/>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2D2E-4DCE-B3D6-C1B0D5098D2F}"/>
              </c:ext>
            </c:extLst>
          </c:dPt>
          <c:cat>
            <c:strRef>
              <c:f>CountryBarChart!$A$4:$A$7</c:f>
              <c:strCache>
                <c:ptCount val="3"/>
                <c:pt idx="0">
                  <c:v>United Kingdom</c:v>
                </c:pt>
                <c:pt idx="1">
                  <c:v>Ireland</c:v>
                </c:pt>
                <c:pt idx="2">
                  <c:v>United States</c:v>
                </c:pt>
              </c:strCache>
            </c:strRef>
          </c:cat>
          <c:val>
            <c:numRef>
              <c:f>CountryBarChart!$B$4:$B$7</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2D2E-4DCE-B3D6-C1B0D5098D2F}"/>
            </c:ext>
          </c:extLst>
        </c:ser>
        <c:dLbls>
          <c:showLegendKey val="0"/>
          <c:showVal val="0"/>
          <c:showCatName val="0"/>
          <c:showSerName val="0"/>
          <c:showPercent val="0"/>
          <c:showBubbleSize val="0"/>
        </c:dLbls>
        <c:gapWidth val="182"/>
        <c:axId val="1325651776"/>
        <c:axId val="1289190864"/>
      </c:barChart>
      <c:catAx>
        <c:axId val="132565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90864"/>
        <c:crosses val="autoZero"/>
        <c:auto val="1"/>
        <c:lblAlgn val="ctr"/>
        <c:lblOffset val="100"/>
        <c:noMultiLvlLbl val="0"/>
      </c:catAx>
      <c:valAx>
        <c:axId val="1289190864"/>
        <c:scaling>
          <c:orientation val="minMax"/>
        </c:scaling>
        <c:delete val="0"/>
        <c:axPos val="b"/>
        <c:majorGridlines>
          <c:spPr>
            <a:ln w="9525" cap="flat" cmpd="sng" algn="ctr">
              <a:solidFill>
                <a:schemeClr val="bg1">
                  <a:lumMod val="7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a:t>
            </a:r>
            <a:r>
              <a:rPr lang="en-US" baseline="0"/>
              <a:t> Over Times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CC5-4CED-9012-307B8003DBEB}"/>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CCC5-4CED-9012-307B8003DBEB}"/>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CCC5-4CED-9012-307B8003DBEB}"/>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CCC5-4CED-9012-307B8003DBEB}"/>
            </c:ext>
          </c:extLst>
        </c:ser>
        <c:dLbls>
          <c:showLegendKey val="0"/>
          <c:showVal val="0"/>
          <c:showCatName val="0"/>
          <c:showSerName val="0"/>
          <c:showPercent val="0"/>
          <c:showBubbleSize val="0"/>
        </c:dLbls>
        <c:smooth val="0"/>
        <c:axId val="1204798704"/>
        <c:axId val="991368400"/>
      </c:lineChart>
      <c:catAx>
        <c:axId val="120479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1368400"/>
        <c:crosses val="autoZero"/>
        <c:auto val="1"/>
        <c:lblAlgn val="ctr"/>
        <c:lblOffset val="100"/>
        <c:noMultiLvlLbl val="0"/>
      </c:catAx>
      <c:valAx>
        <c:axId val="991368400"/>
        <c:scaling>
          <c:orientation val="minMax"/>
        </c:scaling>
        <c:delete val="0"/>
        <c:axPos val="l"/>
        <c:majorGridlines>
          <c:spPr>
            <a:ln w="9525" cap="flat" cmpd="sng" algn="ctr">
              <a:solidFill>
                <a:schemeClr val="accent6">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479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75000"/>
            </a:schemeClr>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1-C89E-4A7C-9CC0-0A9E3748E070}"/>
              </c:ext>
            </c:extLst>
          </c:dPt>
          <c:dPt>
            <c:idx val="1"/>
            <c:invertIfNegative val="0"/>
            <c:bubble3D val="0"/>
            <c:extLst>
              <c:ext xmlns:c16="http://schemas.microsoft.com/office/drawing/2014/chart" uri="{C3380CC4-5D6E-409C-BE32-E72D297353CC}">
                <c16:uniqueId val="{00000003-C89E-4A7C-9CC0-0A9E3748E070}"/>
              </c:ext>
            </c:extLst>
          </c:dPt>
          <c:dPt>
            <c:idx val="2"/>
            <c:invertIfNegative val="0"/>
            <c:bubble3D val="0"/>
            <c:extLst>
              <c:ext xmlns:c16="http://schemas.microsoft.com/office/drawing/2014/chart" uri="{C3380CC4-5D6E-409C-BE32-E72D297353CC}">
                <c16:uniqueId val="{00000005-C89E-4A7C-9CC0-0A9E3748E070}"/>
              </c:ext>
            </c:extLst>
          </c:dPt>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C89E-4A7C-9CC0-0A9E3748E070}"/>
            </c:ext>
          </c:extLst>
        </c:ser>
        <c:dLbls>
          <c:showLegendKey val="0"/>
          <c:showVal val="0"/>
          <c:showCatName val="0"/>
          <c:showSerName val="0"/>
          <c:showPercent val="0"/>
          <c:showBubbleSize val="0"/>
        </c:dLbls>
        <c:gapWidth val="182"/>
        <c:axId val="1325651776"/>
        <c:axId val="1289190864"/>
      </c:barChart>
      <c:catAx>
        <c:axId val="132565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90864"/>
        <c:crosses val="autoZero"/>
        <c:auto val="1"/>
        <c:lblAlgn val="ctr"/>
        <c:lblOffset val="100"/>
        <c:noMultiLvlLbl val="0"/>
      </c:catAx>
      <c:valAx>
        <c:axId val="1289190864"/>
        <c:scaling>
          <c:orientation val="minMax"/>
        </c:scaling>
        <c:delete val="0"/>
        <c:axPos val="b"/>
        <c:majorGridlines>
          <c:spPr>
            <a:ln w="9525" cap="flat" cmpd="sng" algn="ctr">
              <a:solidFill>
                <a:schemeClr val="bg1">
                  <a:lumMod val="7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36AE-4D17-85C9-E749909B2D73}"/>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36AE-4D17-85C9-E749909B2D73}"/>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36AE-4D17-85C9-E749909B2D73}"/>
              </c:ext>
            </c:extLst>
          </c:dPt>
          <c:cat>
            <c:strRef>
              <c:f>CountryBarChart!$A$4:$A$7</c:f>
              <c:strCache>
                <c:ptCount val="3"/>
                <c:pt idx="0">
                  <c:v>United Kingdom</c:v>
                </c:pt>
                <c:pt idx="1">
                  <c:v>Ireland</c:v>
                </c:pt>
                <c:pt idx="2">
                  <c:v>United States</c:v>
                </c:pt>
              </c:strCache>
            </c:strRef>
          </c:cat>
          <c:val>
            <c:numRef>
              <c:f>CountryBarChart!$B$4:$B$7</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6AE-4D17-85C9-E749909B2D73}"/>
            </c:ext>
          </c:extLst>
        </c:ser>
        <c:dLbls>
          <c:showLegendKey val="0"/>
          <c:showVal val="0"/>
          <c:showCatName val="0"/>
          <c:showSerName val="0"/>
          <c:showPercent val="0"/>
          <c:showBubbleSize val="0"/>
        </c:dLbls>
        <c:gapWidth val="182"/>
        <c:axId val="1325651776"/>
        <c:axId val="1289190864"/>
      </c:barChart>
      <c:catAx>
        <c:axId val="132565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90864"/>
        <c:crosses val="autoZero"/>
        <c:auto val="1"/>
        <c:lblAlgn val="ctr"/>
        <c:lblOffset val="100"/>
        <c:noMultiLvlLbl val="0"/>
      </c:catAx>
      <c:valAx>
        <c:axId val="1289190864"/>
        <c:scaling>
          <c:orientation val="minMax"/>
        </c:scaling>
        <c:delete val="0"/>
        <c:axPos val="b"/>
        <c:majorGridlines>
          <c:spPr>
            <a:ln w="9525" cap="flat" cmpd="sng" algn="ctr">
              <a:solidFill>
                <a:schemeClr val="bg1">
                  <a:lumMod val="7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0</xdr:colOff>
      <xdr:row>4</xdr:row>
      <xdr:rowOff>30480</xdr:rowOff>
    </xdr:to>
    <xdr:sp macro="" textlink="">
      <xdr:nvSpPr>
        <xdr:cNvPr id="2" name="Rectangle 1">
          <a:extLst>
            <a:ext uri="{FF2B5EF4-FFF2-40B4-BE49-F238E27FC236}">
              <a16:creationId xmlns:a16="http://schemas.microsoft.com/office/drawing/2014/main" id="{815AB2C2-718C-3148-164B-7D9E775DDE4D}"/>
            </a:ext>
          </a:extLst>
        </xdr:cNvPr>
        <xdr:cNvSpPr/>
      </xdr:nvSpPr>
      <xdr:spPr>
        <a:xfrm>
          <a:off x="119743" y="65314"/>
          <a:ext cx="14020800" cy="585652"/>
        </a:xfrm>
        <a:prstGeom prst="rect">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000">
              <a:solidFill>
                <a:schemeClr val="bg1"/>
              </a:solidFill>
            </a:rPr>
            <a:t>COFFEE ANALYSIS</a:t>
          </a:r>
        </a:p>
      </xdr:txBody>
    </xdr:sp>
    <xdr:clientData/>
  </xdr:twoCellAnchor>
  <xdr:twoCellAnchor>
    <xdr:from>
      <xdr:col>1</xdr:col>
      <xdr:colOff>0</xdr:colOff>
      <xdr:row>15</xdr:row>
      <xdr:rowOff>13063</xdr:rowOff>
    </xdr:from>
    <xdr:to>
      <xdr:col>16</xdr:col>
      <xdr:colOff>0</xdr:colOff>
      <xdr:row>42</xdr:row>
      <xdr:rowOff>0</xdr:rowOff>
    </xdr:to>
    <xdr:graphicFrame macro="">
      <xdr:nvGraphicFramePr>
        <xdr:cNvPr id="3" name="Chart 2">
          <a:extLst>
            <a:ext uri="{FF2B5EF4-FFF2-40B4-BE49-F238E27FC236}">
              <a16:creationId xmlns:a16="http://schemas.microsoft.com/office/drawing/2014/main" id="{E64E860E-11BA-41BE-B63F-32663A373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5</xdr:row>
      <xdr:rowOff>13062</xdr:rowOff>
    </xdr:from>
    <xdr:to>
      <xdr:col>16</xdr:col>
      <xdr:colOff>0</xdr:colOff>
      <xdr:row>14</xdr:row>
      <xdr:rowOff>65314</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BA4316FF-5154-4AD8-9749-B5BA53AC16A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9744" y="818605"/>
              <a:ext cx="9143999" cy="17177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0</xdr:colOff>
      <xdr:row>9</xdr:row>
      <xdr:rowOff>30483</xdr:rowOff>
    </xdr:from>
    <xdr:to>
      <xdr:col>21</xdr:col>
      <xdr:colOff>0</xdr:colOff>
      <xdr:row>14</xdr:row>
      <xdr:rowOff>87088</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D1F34620-A50C-4F01-983C-14B5EF4B9BB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9873343" y="1576254"/>
              <a:ext cx="2438400" cy="981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5</xdr:row>
      <xdr:rowOff>0</xdr:rowOff>
    </xdr:from>
    <xdr:to>
      <xdr:col>24</xdr:col>
      <xdr:colOff>0</xdr:colOff>
      <xdr:row>9</xdr:row>
      <xdr:rowOff>0</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1972F67A-964A-46B7-A6ED-24C01A8ECA5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873343" y="805543"/>
              <a:ext cx="4267200" cy="740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xdr:colOff>
      <xdr:row>9</xdr:row>
      <xdr:rowOff>19595</xdr:rowOff>
    </xdr:from>
    <xdr:to>
      <xdr:col>24</xdr:col>
      <xdr:colOff>0</xdr:colOff>
      <xdr:row>14</xdr:row>
      <xdr:rowOff>87086</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98C01327-D2E1-407D-87D7-279D7580EF8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315553" y="1565366"/>
              <a:ext cx="1824990" cy="992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14</xdr:row>
      <xdr:rowOff>141515</xdr:rowOff>
    </xdr:from>
    <xdr:to>
      <xdr:col>23</xdr:col>
      <xdr:colOff>587828</xdr:colOff>
      <xdr:row>27</xdr:row>
      <xdr:rowOff>70760</xdr:rowOff>
    </xdr:to>
    <xdr:graphicFrame macro="">
      <xdr:nvGraphicFramePr>
        <xdr:cNvPr id="12" name="Chart 11">
          <a:extLst>
            <a:ext uri="{FF2B5EF4-FFF2-40B4-BE49-F238E27FC236}">
              <a16:creationId xmlns:a16="http://schemas.microsoft.com/office/drawing/2014/main" id="{66C09CDB-D67D-4045-A140-A7394332C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587828</xdr:colOff>
      <xdr:row>28</xdr:row>
      <xdr:rowOff>10886</xdr:rowOff>
    </xdr:from>
    <xdr:to>
      <xdr:col>24</xdr:col>
      <xdr:colOff>8708</xdr:colOff>
      <xdr:row>41</xdr:row>
      <xdr:rowOff>163286</xdr:rowOff>
    </xdr:to>
    <xdr:graphicFrame macro="">
      <xdr:nvGraphicFramePr>
        <xdr:cNvPr id="13" name="Chart 12">
          <a:extLst>
            <a:ext uri="{FF2B5EF4-FFF2-40B4-BE49-F238E27FC236}">
              <a16:creationId xmlns:a16="http://schemas.microsoft.com/office/drawing/2014/main" id="{B8AF0FD4-9206-4327-9E86-389003632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355419</xdr:colOff>
      <xdr:row>13</xdr:row>
      <xdr:rowOff>21771</xdr:rowOff>
    </xdr:from>
    <xdr:to>
      <xdr:col>21</xdr:col>
      <xdr:colOff>290649</xdr:colOff>
      <xdr:row>34</xdr:row>
      <xdr:rowOff>176348</xdr:rowOff>
    </xdr:to>
    <xdr:graphicFrame macro="">
      <xdr:nvGraphicFramePr>
        <xdr:cNvPr id="2" name="Chart 1">
          <a:extLst>
            <a:ext uri="{FF2B5EF4-FFF2-40B4-BE49-F238E27FC236}">
              <a16:creationId xmlns:a16="http://schemas.microsoft.com/office/drawing/2014/main" id="{8EC808B4-0C06-11C0-7ED7-25B725C1D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362495</xdr:colOff>
      <xdr:row>3</xdr:row>
      <xdr:rowOff>32657</xdr:rowOff>
    </xdr:from>
    <xdr:to>
      <xdr:col>21</xdr:col>
      <xdr:colOff>293914</xdr:colOff>
      <xdr:row>12</xdr:row>
      <xdr:rowOff>65314</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B21F27BB-B0E0-EA86-3967-FBFC3B26425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778638" y="587828"/>
              <a:ext cx="7856219" cy="16981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464819</xdr:colOff>
      <xdr:row>7</xdr:row>
      <xdr:rowOff>10888</xdr:rowOff>
    </xdr:from>
    <xdr:to>
      <xdr:col>24</xdr:col>
      <xdr:colOff>522514</xdr:colOff>
      <xdr:row>12</xdr:row>
      <xdr:rowOff>54430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5C1308EA-F61C-5EBF-6CFB-3D1F96B7EDE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7805762" y="1306288"/>
              <a:ext cx="1886495" cy="968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455023</xdr:colOff>
      <xdr:row>3</xdr:row>
      <xdr:rowOff>30480</xdr:rowOff>
    </xdr:from>
    <xdr:to>
      <xdr:col>27</xdr:col>
      <xdr:colOff>566057</xdr:colOff>
      <xdr:row>6</xdr:row>
      <xdr:rowOff>152399</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7943571E-47EE-8009-5894-0AB1792386C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7795966" y="585651"/>
              <a:ext cx="3768634" cy="677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10886</xdr:colOff>
      <xdr:row>7</xdr:row>
      <xdr:rowOff>10886</xdr:rowOff>
    </xdr:from>
    <xdr:to>
      <xdr:col>27</xdr:col>
      <xdr:colOff>598713</xdr:colOff>
      <xdr:row>12</xdr:row>
      <xdr:rowOff>10885</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A3BFB898-99A9-9AF7-62F2-873DB83F0A0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9790229" y="1306286"/>
              <a:ext cx="1807027" cy="925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130628</xdr:colOff>
      <xdr:row>3</xdr:row>
      <xdr:rowOff>136070</xdr:rowOff>
    </xdr:from>
    <xdr:to>
      <xdr:col>16</xdr:col>
      <xdr:colOff>576942</xdr:colOff>
      <xdr:row>23</xdr:row>
      <xdr:rowOff>130629</xdr:rowOff>
    </xdr:to>
    <xdr:graphicFrame macro="">
      <xdr:nvGraphicFramePr>
        <xdr:cNvPr id="2" name="Chart 1">
          <a:extLst>
            <a:ext uri="{FF2B5EF4-FFF2-40B4-BE49-F238E27FC236}">
              <a16:creationId xmlns:a16="http://schemas.microsoft.com/office/drawing/2014/main" id="{A0ECA1F2-F446-4075-A3E3-6617D3ABD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130629</xdr:colOff>
      <xdr:row>3</xdr:row>
      <xdr:rowOff>136070</xdr:rowOff>
    </xdr:from>
    <xdr:to>
      <xdr:col>15</xdr:col>
      <xdr:colOff>381000</xdr:colOff>
      <xdr:row>22</xdr:row>
      <xdr:rowOff>87085</xdr:rowOff>
    </xdr:to>
    <xdr:graphicFrame macro="">
      <xdr:nvGraphicFramePr>
        <xdr:cNvPr id="8" name="Chart 7">
          <a:extLst>
            <a:ext uri="{FF2B5EF4-FFF2-40B4-BE49-F238E27FC236}">
              <a16:creationId xmlns:a16="http://schemas.microsoft.com/office/drawing/2014/main" id="{3CC105B6-FBF9-82BA-13E0-83A5B115D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7.587347106484" createdVersion="8" refreshedVersion="8" minRefreshableVersion="3" recordCount="1000" xr:uid="{89E117F9-EF38-4F00-949E-F00065279997}">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018624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33A3D0-2542-4E1A-88D0-587627B2A703}" name="TotalSales" cacheId="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G49"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1" numFmtId="37"/>
  </dataFields>
  <chartFormats count="9">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4" format="4" series="1">
      <pivotArea type="data" outline="0" fieldPosition="0">
        <references count="1">
          <reference field="4294967294" count="1" selected="0">
            <x v="0"/>
          </reference>
        </references>
      </pivotArea>
    </chartFormat>
    <chartFormat chart="9" format="9" series="1">
      <pivotArea type="data" outline="0" fieldPosition="0">
        <references count="2">
          <reference field="4294967294" count="1" selected="0">
            <x v="0"/>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5A647B-5285-4326-BBB5-014E4B8E989F}" name="TotalSales" cacheId="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8">
  <location ref="A3:B9"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1" numFmtId="170"/>
  </dataFields>
  <chartFormats count="4">
    <chartFormat chart="7" format="1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151134-CB1A-4136-849D-BC583CAD8789}" name="TotalSales" cacheId="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7"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1" numFmtId="170"/>
  </dataFields>
  <chartFormats count="1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7" count="1" selected="0">
            <x v="1"/>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 chart="16" format="7">
      <pivotArea type="data" outline="0" fieldPosition="0">
        <references count="2">
          <reference field="4294967294" count="1" selected="0">
            <x v="0"/>
          </reference>
          <reference field="7"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C4C6A6E-AB1C-4931-9A3A-39ABA42728B5}" sourceName="Size">
  <pivotTables>
    <pivotTable tabId="18" name="TotalSales"/>
    <pivotTable tabId="19" name="TotalSales"/>
    <pivotTable tabId="22" name="TotalSales"/>
  </pivotTables>
  <data>
    <tabular pivotCacheId="101862459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C1A3845-6E71-46EC-A136-8DFD28CAC61B}" sourceName="Roast Type Name">
  <pivotTables>
    <pivotTable tabId="18" name="TotalSales"/>
    <pivotTable tabId="19" name="TotalSales"/>
    <pivotTable tabId="22" name="TotalSales"/>
  </pivotTables>
  <data>
    <tabular pivotCacheId="101862459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7FF4EE8-46F3-46F0-9A4E-B4BF0EB876C4}" sourceName="Loyalty Card">
  <pivotTables>
    <pivotTable tabId="18" name="TotalSales"/>
    <pivotTable tabId="19" name="TotalSales"/>
    <pivotTable tabId="22" name="TotalSales"/>
  </pivotTables>
  <data>
    <tabular pivotCacheId="10186245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E65EEB6-74D1-4425-93CF-EA89D4D8DA63}" cache="Slicer_Size" caption="Size" columnCount="2" style="New StyleSlicer" rowHeight="234950"/>
  <slicer name="Roast Type Name 1" xr10:uid="{3271F411-F403-4284-851E-2215AA533A11}" cache="Slicer_Roast_Type_Name" caption="Roast Type Name" columnCount="3" style="New StyleSlicer" rowHeight="234950"/>
  <slicer name="Loyalty Card 1" xr10:uid="{A1ACDCDE-FDFC-44A5-96E8-02EEA828FC76}" cache="Slicer_Loyalty_Card" caption="Loyalty Card" style="New Style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233BABD-36B7-42E1-AABA-B948EC691225}" cache="Slicer_Size" caption="Size" columnCount="2" style="New StyleSlicer" rowHeight="234950"/>
  <slicer name="Roast Type Name" xr10:uid="{910E85A6-96B1-403E-9D44-80887AF63E15}" cache="Slicer_Roast_Type_Name" caption="Roast Type Name" columnCount="3" style="New StyleSlicer" rowHeight="234950"/>
  <slicer name="Loyalty Card" xr10:uid="{A1B19415-F3CB-4217-A1AE-D442CF96CFA7}" cache="Slicer_Loyalty_Card" caption="Loyalty Card" style="New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ACED10-7A3D-4407-8DDE-FD77D15957F5}" name="Table3" displayName="Table3" ref="A3:P76" totalsRowShown="0">
  <autoFilter ref="A3:P76" xr:uid="{03ACED10-7A3D-4407-8DDE-FD77D15957F5}"/>
  <tableColumns count="16">
    <tableColumn id="1" xr3:uid="{CD36ED6D-F4B7-454C-BA91-3DFE4AAE9EE2}" name="Order ID"/>
    <tableColumn id="2" xr3:uid="{FC7D144A-C4F7-45ED-B01D-67AB298A2287}" name="Order Date" dataDxfId="0"/>
    <tableColumn id="3" xr3:uid="{B9932837-EFDC-4A58-8789-282F95A5D562}" name="Customer ID"/>
    <tableColumn id="4" xr3:uid="{272A12F5-2E41-473E-A226-699183B39BB6}" name="Product ID"/>
    <tableColumn id="5" xr3:uid="{B87B8BDE-1B68-4F64-8C5C-AD313918D834}" name="Quantity"/>
    <tableColumn id="6" xr3:uid="{88E7A4E5-711D-4F5C-96C4-8669E872D544}" name="Customer Name"/>
    <tableColumn id="7" xr3:uid="{84C7DA99-5DBC-4BB6-B4AF-55A5316588CD}" name="Email"/>
    <tableColumn id="8" xr3:uid="{69963E6F-C09A-4F10-B773-F1480FA1ACBC}" name="Country"/>
    <tableColumn id="9" xr3:uid="{191F2D1D-15AA-41D2-AB6D-6E4D77453CD8}" name="Coffee Type"/>
    <tableColumn id="10" xr3:uid="{F7D97C51-A861-448C-8284-81170E614CDE}" name="Roast Type"/>
    <tableColumn id="11" xr3:uid="{53FF6B80-0BDF-4592-89B2-FEA277107B2A}" name="Size"/>
    <tableColumn id="12" xr3:uid="{422232C1-37BB-4B2C-921D-D7D4DBED230B}" name="Unit Price"/>
    <tableColumn id="13" xr3:uid="{5363F572-85D0-42B3-9F4E-C6C43D76D259}" name="Sales"/>
    <tableColumn id="14" xr3:uid="{722204A0-F6A0-45B2-8BAB-3B327AF28063}" name="Coffee Type Name"/>
    <tableColumn id="15" xr3:uid="{E2154CBE-BC5E-408F-8A83-770346F8A38A}" name="Roast Type Name"/>
    <tableColumn id="16" xr3:uid="{D4AB0D49-6B88-4673-8964-0B86EAE9FCF2}" name="Loyalty C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BBC14-6B95-4DC8-B3EB-7551D7C99C6C}" name="Orders" displayName="Orders" ref="A1:P1001" totalsRowShown="0" headerRowDxfId="6">
  <autoFilter ref="A1:P1001" xr:uid="{267BBC14-6B95-4DC8-B3EB-7551D7C99C6C}"/>
  <tableColumns count="16">
    <tableColumn id="1" xr3:uid="{7C8733F7-2E0B-4CF4-B97B-F68BD000942C}" name="Order ID" dataDxfId="16"/>
    <tableColumn id="2" xr3:uid="{D69FABDD-29AA-4264-AFFA-AA6C1EE17666}" name="Order Date" dataDxfId="15"/>
    <tableColumn id="3" xr3:uid="{6A913678-C338-4403-9541-5127A5E42DFC}" name="Customer ID" dataDxfId="14"/>
    <tableColumn id="4" xr3:uid="{2B5FCEF7-D92E-4669-A511-9A146346E3D5}" name="Product ID"/>
    <tableColumn id="5" xr3:uid="{C4E64337-14A2-4A2B-AFCF-18AE8F6D1D3D}" name="Quantity" dataDxfId="13"/>
    <tableColumn id="6" xr3:uid="{163FD214-4943-411E-830F-BB6C45C8AF97}" name="Customer Name" dataDxfId="12">
      <calculatedColumnFormula>_xlfn.XLOOKUP(C2,customers!$A$1:$A$1001,customers!$B$1:$B$1001,,0)</calculatedColumnFormula>
    </tableColumn>
    <tableColumn id="7" xr3:uid="{6B0D2B6C-03EC-415A-A1C6-F6F862A876E9}" name="Email" dataDxfId="11">
      <calculatedColumnFormula>IF(_xlfn.XLOOKUP(C2,customers!$A$1:$A$1001,customers!$C$1:$C$1001,,0) = 0, "", _xlfn.XLOOKUP(C2,customers!$A$1:$A$1001,customers!$C$1:$C$1001,,0))</calculatedColumnFormula>
    </tableColumn>
    <tableColumn id="8" xr3:uid="{194FCDAC-CD91-4DE8-B583-5F261740474A}" name="Country" dataDxfId="10">
      <calculatedColumnFormula>_xlfn.XLOOKUP(C2,customers!$A$1:$A$1001,customers!$G$1:$G$1001,,0)</calculatedColumnFormula>
    </tableColumn>
    <tableColumn id="9" xr3:uid="{8E66EBED-9AF8-40D5-B830-747C8E408453}" name="Coffee Type">
      <calculatedColumnFormula>INDEX(products!$A$1:$G$49, MATCH(orders!$D2,products!$A$1:$A$49,0), MATCH(I$1,products!$A$1:$G$1,0))</calculatedColumnFormula>
    </tableColumn>
    <tableColumn id="10" xr3:uid="{E22AA5D0-7AD2-4D5D-8A84-E79D9FD63A2A}" name="Roast Type">
      <calculatedColumnFormula>INDEX(products!$A$1:$G$49, MATCH(orders!$D2,products!$A$1:$A$49,0), MATCH(J$1,products!$A$1:$G$1,0))</calculatedColumnFormula>
    </tableColumn>
    <tableColumn id="11" xr3:uid="{24886C62-7C69-43AA-A9E7-AB28294D968E}" name="Size" dataDxfId="9">
      <calculatedColumnFormula>INDEX(products!$A$1:$G$49, MATCH(orders!$D2,products!$A$1:$A$49,0), MATCH(K$1,products!$A$1:$G$1,0))</calculatedColumnFormula>
    </tableColumn>
    <tableColumn id="12" xr3:uid="{C2EE5786-3131-4903-84CD-D1D3953D3B13}" name="Unit Price" dataDxfId="8">
      <calculatedColumnFormula>INDEX(products!$A$1:$G$49, MATCH(orders!$D2,products!$A$1:$A$49,0), MATCH(L$1,products!$A$1:$G$1,0))</calculatedColumnFormula>
    </tableColumn>
    <tableColumn id="13" xr3:uid="{32DFBACA-8AB6-4E0C-8423-948DB0920881}" name="Sales" dataDxfId="7">
      <calculatedColumnFormula>L2*E2</calculatedColumnFormula>
    </tableColumn>
    <tableColumn id="14" xr3:uid="{F2C6DE83-2BD3-4637-A291-90B08DE0F6BA}" name="Coffee Type Name">
      <calculatedColumnFormula>IF(I2="Rob", "Robusta", IF(I2 = "Exc", "Excelsa", IF(I2 = "Ara", "Arabica", IF(I2 = "Lib", "Liberica", ""))))</calculatedColumnFormula>
    </tableColumn>
    <tableColumn id="15" xr3:uid="{7ACD4E85-A616-498A-989C-A17F5F690AC6}" name="Roast Type Name">
      <calculatedColumnFormula>IF(J2 = "M", "Medium", IF(J2 = "L", "Light", IF( J2 = "D", "Dark", "")))</calculatedColumnFormula>
    </tableColumn>
    <tableColumn id="16" xr3:uid="{4C042FCC-3B9D-4398-85A2-6FDC94E35296}" name="Loyalty Card" dataDxfId="3">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9026964-F7F4-458F-8311-1C91B31708DA}" sourceName="Order Date">
  <pivotTables>
    <pivotTable tabId="18" name="TotalSales"/>
    <pivotTable tabId="19" name="TotalSales"/>
    <pivotTable tabId="22" name="TotalSales"/>
  </pivotTables>
  <state minimalRefreshVersion="6" lastRefreshVersion="6" pivotCacheId="101862459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94CB741-1CDB-4BA1-AF6F-96D4C8B54034}" cache="NativeTimeline_Order_Date" caption="Order Date" level="2" selectionLevel="2" scrollPosition="2021-03-28T00:00:00" style="New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7F783EC-7140-4CE2-82A2-41C1A8A4B5AC}" cache="NativeTimeline_Order_Date" caption="Order Date" level="2" selectionLevel="2" scrollPosition="2021-06-29T00:00:00" style="New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A2667-7CE5-481C-BCFC-943A5EC12137}">
  <dimension ref="A1"/>
  <sheetViews>
    <sheetView showGridLines="0" showRowColHeaders="0" tabSelected="1" zoomScale="70" zoomScaleNormal="70" workbookViewId="0">
      <selection activeCell="Z18" sqref="Z18"/>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3FD3-0477-461C-977F-06B4DE52CB92}">
  <dimension ref="A3:G49"/>
  <sheetViews>
    <sheetView topLeftCell="D1" zoomScale="70" zoomScaleNormal="70" workbookViewId="0">
      <selection activeCell="W9" sqref="W9"/>
    </sheetView>
  </sheetViews>
  <sheetFormatPr defaultRowHeight="14.4" x14ac:dyDescent="0.3"/>
  <cols>
    <col min="1" max="1" width="12.5546875" bestFit="1" customWidth="1"/>
    <col min="2" max="2" width="22.77734375" bestFit="1" customWidth="1"/>
    <col min="3" max="6" width="20.44140625" bestFit="1" customWidth="1"/>
    <col min="7" max="7" width="11.109375" bestFit="1" customWidth="1"/>
  </cols>
  <sheetData>
    <row r="3" spans="1:7" x14ac:dyDescent="0.3">
      <c r="A3" s="6" t="s">
        <v>6221</v>
      </c>
      <c r="C3" s="6" t="s">
        <v>6196</v>
      </c>
    </row>
    <row r="4" spans="1:7" x14ac:dyDescent="0.3">
      <c r="A4" s="6" t="s">
        <v>6215</v>
      </c>
      <c r="B4" s="6" t="s">
        <v>6216</v>
      </c>
      <c r="C4" t="s">
        <v>6217</v>
      </c>
      <c r="D4" t="s">
        <v>6218</v>
      </c>
      <c r="E4" t="s">
        <v>6219</v>
      </c>
      <c r="F4" t="s">
        <v>6220</v>
      </c>
      <c r="G4" t="s">
        <v>6198</v>
      </c>
    </row>
    <row r="5" spans="1:7" x14ac:dyDescent="0.3">
      <c r="A5" t="s">
        <v>6199</v>
      </c>
      <c r="B5" t="s">
        <v>6203</v>
      </c>
      <c r="C5" s="7">
        <v>186.85499999999999</v>
      </c>
      <c r="D5" s="7">
        <v>305.97000000000003</v>
      </c>
      <c r="E5" s="7">
        <v>213.15999999999997</v>
      </c>
      <c r="F5" s="7">
        <v>123</v>
      </c>
      <c r="G5" s="7">
        <v>828.98500000000001</v>
      </c>
    </row>
    <row r="6" spans="1:7" x14ac:dyDescent="0.3">
      <c r="B6" t="s">
        <v>6204</v>
      </c>
      <c r="C6" s="7">
        <v>251.96499999999997</v>
      </c>
      <c r="D6" s="7">
        <v>129.46</v>
      </c>
      <c r="E6" s="7">
        <v>434.03999999999996</v>
      </c>
      <c r="F6" s="7">
        <v>171.93999999999997</v>
      </c>
      <c r="G6" s="7">
        <v>987.40499999999986</v>
      </c>
    </row>
    <row r="7" spans="1:7" x14ac:dyDescent="0.3">
      <c r="B7" t="s">
        <v>6205</v>
      </c>
      <c r="C7" s="7">
        <v>224.94499999999999</v>
      </c>
      <c r="D7" s="7">
        <v>349.12</v>
      </c>
      <c r="E7" s="7">
        <v>321.04000000000002</v>
      </c>
      <c r="F7" s="7">
        <v>126.035</v>
      </c>
      <c r="G7" s="7">
        <v>1021.14</v>
      </c>
    </row>
    <row r="8" spans="1:7" x14ac:dyDescent="0.3">
      <c r="B8" t="s">
        <v>6206</v>
      </c>
      <c r="C8" s="7">
        <v>307.12</v>
      </c>
      <c r="D8" s="7">
        <v>681.07499999999993</v>
      </c>
      <c r="E8" s="7">
        <v>533.70499999999993</v>
      </c>
      <c r="F8" s="7">
        <v>158.85</v>
      </c>
      <c r="G8" s="7">
        <v>1680.7499999999998</v>
      </c>
    </row>
    <row r="9" spans="1:7" x14ac:dyDescent="0.3">
      <c r="B9" t="s">
        <v>6207</v>
      </c>
      <c r="C9" s="7">
        <v>53.664999999999992</v>
      </c>
      <c r="D9" s="7">
        <v>83.025000000000006</v>
      </c>
      <c r="E9" s="7">
        <v>193.83499999999998</v>
      </c>
      <c r="F9" s="7">
        <v>68.039999999999992</v>
      </c>
      <c r="G9" s="7">
        <v>398.56499999999994</v>
      </c>
    </row>
    <row r="10" spans="1:7" x14ac:dyDescent="0.3">
      <c r="B10" t="s">
        <v>6208</v>
      </c>
      <c r="C10" s="7">
        <v>163.01999999999998</v>
      </c>
      <c r="D10" s="7">
        <v>678.3599999999999</v>
      </c>
      <c r="E10" s="7">
        <v>171.04500000000002</v>
      </c>
      <c r="F10" s="7">
        <v>372.255</v>
      </c>
      <c r="G10" s="7">
        <v>1384.6799999999998</v>
      </c>
    </row>
    <row r="11" spans="1:7" x14ac:dyDescent="0.3">
      <c r="B11" t="s">
        <v>6209</v>
      </c>
      <c r="C11" s="7">
        <v>345.02</v>
      </c>
      <c r="D11" s="7">
        <v>273.86999999999995</v>
      </c>
      <c r="E11" s="7">
        <v>184.12999999999997</v>
      </c>
      <c r="F11" s="7">
        <v>201.11499999999998</v>
      </c>
      <c r="G11" s="7">
        <v>1004.1349999999999</v>
      </c>
    </row>
    <row r="12" spans="1:7" x14ac:dyDescent="0.3">
      <c r="B12" t="s">
        <v>6210</v>
      </c>
      <c r="C12" s="7">
        <v>334.89</v>
      </c>
      <c r="D12" s="7">
        <v>70.95</v>
      </c>
      <c r="E12" s="7">
        <v>134.23000000000002</v>
      </c>
      <c r="F12" s="7">
        <v>166.27499999999998</v>
      </c>
      <c r="G12" s="7">
        <v>706.34499999999991</v>
      </c>
    </row>
    <row r="13" spans="1:7" x14ac:dyDescent="0.3">
      <c r="B13" t="s">
        <v>6211</v>
      </c>
      <c r="C13" s="7">
        <v>178.70999999999998</v>
      </c>
      <c r="D13" s="7">
        <v>166.1</v>
      </c>
      <c r="E13" s="7">
        <v>439.30999999999995</v>
      </c>
      <c r="F13" s="7">
        <v>492.9</v>
      </c>
      <c r="G13" s="7">
        <v>1277.02</v>
      </c>
    </row>
    <row r="14" spans="1:7" x14ac:dyDescent="0.3">
      <c r="B14" t="s">
        <v>6212</v>
      </c>
      <c r="C14" s="7">
        <v>301.98500000000001</v>
      </c>
      <c r="D14" s="7">
        <v>153.76499999999999</v>
      </c>
      <c r="E14" s="7">
        <v>215.55499999999998</v>
      </c>
      <c r="F14" s="7">
        <v>213.66499999999999</v>
      </c>
      <c r="G14" s="7">
        <v>884.96999999999991</v>
      </c>
    </row>
    <row r="15" spans="1:7" x14ac:dyDescent="0.3">
      <c r="B15" t="s">
        <v>6213</v>
      </c>
      <c r="C15" s="7">
        <v>312.83499999999998</v>
      </c>
      <c r="D15" s="7">
        <v>63.249999999999993</v>
      </c>
      <c r="E15" s="7">
        <v>350.89500000000004</v>
      </c>
      <c r="F15" s="7">
        <v>96.405000000000001</v>
      </c>
      <c r="G15" s="7">
        <v>823.38499999999999</v>
      </c>
    </row>
    <row r="16" spans="1:7" x14ac:dyDescent="0.3">
      <c r="B16" t="s">
        <v>6214</v>
      </c>
      <c r="C16" s="7">
        <v>265.62</v>
      </c>
      <c r="D16" s="7">
        <v>526.51499999999987</v>
      </c>
      <c r="E16" s="7">
        <v>187.06</v>
      </c>
      <c r="F16" s="7">
        <v>210.58999999999997</v>
      </c>
      <c r="G16" s="7">
        <v>1189.7849999999999</v>
      </c>
    </row>
    <row r="17" spans="1:7" x14ac:dyDescent="0.3">
      <c r="A17" t="s">
        <v>6200</v>
      </c>
      <c r="B17" t="s">
        <v>6203</v>
      </c>
      <c r="C17" s="7">
        <v>47.25</v>
      </c>
      <c r="D17" s="7">
        <v>65.805000000000007</v>
      </c>
      <c r="E17" s="7">
        <v>274.67500000000001</v>
      </c>
      <c r="F17" s="7">
        <v>179.22</v>
      </c>
      <c r="G17" s="7">
        <v>566.95000000000005</v>
      </c>
    </row>
    <row r="18" spans="1:7" x14ac:dyDescent="0.3">
      <c r="B18" t="s">
        <v>6204</v>
      </c>
      <c r="C18" s="7">
        <v>745.44999999999993</v>
      </c>
      <c r="D18" s="7">
        <v>428.88499999999999</v>
      </c>
      <c r="E18" s="7">
        <v>194.17499999999998</v>
      </c>
      <c r="F18" s="7">
        <v>429.82999999999993</v>
      </c>
      <c r="G18" s="7">
        <v>1798.34</v>
      </c>
    </row>
    <row r="19" spans="1:7" x14ac:dyDescent="0.3">
      <c r="B19" t="s">
        <v>6205</v>
      </c>
      <c r="C19" s="7">
        <v>130.47</v>
      </c>
      <c r="D19" s="7">
        <v>271.48500000000001</v>
      </c>
      <c r="E19" s="7">
        <v>281.20499999999998</v>
      </c>
      <c r="F19" s="7">
        <v>231.63000000000002</v>
      </c>
      <c r="G19" s="7">
        <v>914.79000000000008</v>
      </c>
    </row>
    <row r="20" spans="1:7" x14ac:dyDescent="0.3">
      <c r="B20" t="s">
        <v>6206</v>
      </c>
      <c r="C20" s="7">
        <v>27</v>
      </c>
      <c r="D20" s="7">
        <v>347.26</v>
      </c>
      <c r="E20" s="7">
        <v>147.51</v>
      </c>
      <c r="F20" s="7">
        <v>240.04</v>
      </c>
      <c r="G20" s="7">
        <v>761.81</v>
      </c>
    </row>
    <row r="21" spans="1:7" x14ac:dyDescent="0.3">
      <c r="B21" t="s">
        <v>6207</v>
      </c>
      <c r="C21" s="7">
        <v>255.11499999999995</v>
      </c>
      <c r="D21" s="7">
        <v>541.73</v>
      </c>
      <c r="E21" s="7">
        <v>83.43</v>
      </c>
      <c r="F21" s="7">
        <v>59.079999999999991</v>
      </c>
      <c r="G21" s="7">
        <v>939.35500000000013</v>
      </c>
    </row>
    <row r="22" spans="1:7" x14ac:dyDescent="0.3">
      <c r="B22" t="s">
        <v>6208</v>
      </c>
      <c r="C22" s="7">
        <v>584.78999999999985</v>
      </c>
      <c r="D22" s="7">
        <v>357.42999999999995</v>
      </c>
      <c r="E22" s="7">
        <v>355.34</v>
      </c>
      <c r="F22" s="7">
        <v>140.88</v>
      </c>
      <c r="G22" s="7">
        <v>1438.4399999999996</v>
      </c>
    </row>
    <row r="23" spans="1:7" x14ac:dyDescent="0.3">
      <c r="B23" t="s">
        <v>6209</v>
      </c>
      <c r="C23" s="7">
        <v>430.62</v>
      </c>
      <c r="D23" s="7">
        <v>227.42500000000001</v>
      </c>
      <c r="E23" s="7">
        <v>236.315</v>
      </c>
      <c r="F23" s="7">
        <v>414.58499999999992</v>
      </c>
      <c r="G23" s="7">
        <v>1308.9450000000002</v>
      </c>
    </row>
    <row r="24" spans="1:7" x14ac:dyDescent="0.3">
      <c r="B24" t="s">
        <v>6210</v>
      </c>
      <c r="C24" s="7">
        <v>22.5</v>
      </c>
      <c r="D24" s="7">
        <v>77.72</v>
      </c>
      <c r="E24" s="7">
        <v>60.5</v>
      </c>
      <c r="F24" s="7">
        <v>139.67999999999998</v>
      </c>
      <c r="G24" s="7">
        <v>300.39999999999998</v>
      </c>
    </row>
    <row r="25" spans="1:7" x14ac:dyDescent="0.3">
      <c r="B25" t="s">
        <v>6211</v>
      </c>
      <c r="C25" s="7">
        <v>126.14999999999999</v>
      </c>
      <c r="D25" s="7">
        <v>195.11</v>
      </c>
      <c r="E25" s="7">
        <v>89.13</v>
      </c>
      <c r="F25" s="7">
        <v>302.65999999999997</v>
      </c>
      <c r="G25" s="7">
        <v>713.05</v>
      </c>
    </row>
    <row r="26" spans="1:7" x14ac:dyDescent="0.3">
      <c r="B26" t="s">
        <v>6212</v>
      </c>
      <c r="C26" s="7">
        <v>376.03</v>
      </c>
      <c r="D26" s="7">
        <v>523.24</v>
      </c>
      <c r="E26" s="7">
        <v>440.96499999999997</v>
      </c>
      <c r="F26" s="7">
        <v>174.46999999999997</v>
      </c>
      <c r="G26" s="7">
        <v>1514.7049999999999</v>
      </c>
    </row>
    <row r="27" spans="1:7" x14ac:dyDescent="0.3">
      <c r="B27" t="s">
        <v>6213</v>
      </c>
      <c r="C27" s="7">
        <v>515.17999999999995</v>
      </c>
      <c r="D27" s="7">
        <v>142.56</v>
      </c>
      <c r="E27" s="7">
        <v>347.03999999999996</v>
      </c>
      <c r="F27" s="7">
        <v>104.08499999999999</v>
      </c>
      <c r="G27" s="7">
        <v>1108.865</v>
      </c>
    </row>
    <row r="28" spans="1:7" x14ac:dyDescent="0.3">
      <c r="B28" t="s">
        <v>6214</v>
      </c>
      <c r="C28" s="7">
        <v>95.859999999999985</v>
      </c>
      <c r="D28" s="7">
        <v>484.76</v>
      </c>
      <c r="E28" s="7">
        <v>94.17</v>
      </c>
      <c r="F28" s="7">
        <v>77.10499999999999</v>
      </c>
      <c r="G28" s="7">
        <v>751.89499999999998</v>
      </c>
    </row>
    <row r="29" spans="1:7" x14ac:dyDescent="0.3">
      <c r="A29" t="s">
        <v>6201</v>
      </c>
      <c r="B29" t="s">
        <v>6203</v>
      </c>
      <c r="C29" s="7">
        <v>258.34500000000003</v>
      </c>
      <c r="D29" s="7">
        <v>139.625</v>
      </c>
      <c r="E29" s="7">
        <v>279.52000000000004</v>
      </c>
      <c r="F29" s="7">
        <v>160.19499999999999</v>
      </c>
      <c r="G29" s="7">
        <v>837.68499999999995</v>
      </c>
    </row>
    <row r="30" spans="1:7" x14ac:dyDescent="0.3">
      <c r="B30" t="s">
        <v>6204</v>
      </c>
      <c r="C30" s="7">
        <v>342.2</v>
      </c>
      <c r="D30" s="7">
        <v>284.24999999999994</v>
      </c>
      <c r="E30" s="7">
        <v>251.83</v>
      </c>
      <c r="F30" s="7">
        <v>80.550000000000011</v>
      </c>
      <c r="G30" s="7">
        <v>958.82999999999993</v>
      </c>
    </row>
    <row r="31" spans="1:7" x14ac:dyDescent="0.3">
      <c r="B31" t="s">
        <v>6205</v>
      </c>
      <c r="C31" s="7">
        <v>418.30499999999989</v>
      </c>
      <c r="D31" s="7">
        <v>468.125</v>
      </c>
      <c r="E31" s="7">
        <v>405.05500000000006</v>
      </c>
      <c r="F31" s="7">
        <v>253.15499999999997</v>
      </c>
      <c r="G31" s="7">
        <v>1544.6399999999999</v>
      </c>
    </row>
    <row r="32" spans="1:7" x14ac:dyDescent="0.3">
      <c r="B32" t="s">
        <v>6206</v>
      </c>
      <c r="C32" s="7">
        <v>102.32999999999998</v>
      </c>
      <c r="D32" s="7">
        <v>242.14000000000001</v>
      </c>
      <c r="E32" s="7">
        <v>554.875</v>
      </c>
      <c r="F32" s="7">
        <v>106.23999999999998</v>
      </c>
      <c r="G32" s="7">
        <v>1005.585</v>
      </c>
    </row>
    <row r="33" spans="1:7" x14ac:dyDescent="0.3">
      <c r="B33" t="s">
        <v>6207</v>
      </c>
      <c r="C33" s="7">
        <v>234.71999999999997</v>
      </c>
      <c r="D33" s="7">
        <v>133.08000000000001</v>
      </c>
      <c r="E33" s="7">
        <v>267.2</v>
      </c>
      <c r="F33" s="7">
        <v>272.68999999999994</v>
      </c>
      <c r="G33" s="7">
        <v>907.68999999999994</v>
      </c>
    </row>
    <row r="34" spans="1:7" x14ac:dyDescent="0.3">
      <c r="B34" t="s">
        <v>6208</v>
      </c>
      <c r="C34" s="7">
        <v>430.39</v>
      </c>
      <c r="D34" s="7">
        <v>136.20500000000001</v>
      </c>
      <c r="E34" s="7">
        <v>209.6</v>
      </c>
      <c r="F34" s="7">
        <v>88.334999999999994</v>
      </c>
      <c r="G34" s="7">
        <v>864.53000000000009</v>
      </c>
    </row>
    <row r="35" spans="1:7" x14ac:dyDescent="0.3">
      <c r="B35" t="s">
        <v>6209</v>
      </c>
      <c r="C35" s="7">
        <v>109.005</v>
      </c>
      <c r="D35" s="7">
        <v>393.57499999999999</v>
      </c>
      <c r="E35" s="7">
        <v>61.034999999999997</v>
      </c>
      <c r="F35" s="7">
        <v>199.48999999999998</v>
      </c>
      <c r="G35" s="7">
        <v>763.10500000000002</v>
      </c>
    </row>
    <row r="36" spans="1:7" x14ac:dyDescent="0.3">
      <c r="B36" t="s">
        <v>6210</v>
      </c>
      <c r="C36" s="7">
        <v>287.52499999999998</v>
      </c>
      <c r="D36" s="7">
        <v>288.67</v>
      </c>
      <c r="E36" s="7">
        <v>125.58</v>
      </c>
      <c r="F36" s="7">
        <v>374.13499999999999</v>
      </c>
      <c r="G36" s="7">
        <v>1075.9099999999999</v>
      </c>
    </row>
    <row r="37" spans="1:7" x14ac:dyDescent="0.3">
      <c r="B37" t="s">
        <v>6211</v>
      </c>
      <c r="C37" s="7">
        <v>840.92999999999984</v>
      </c>
      <c r="D37" s="7">
        <v>409.875</v>
      </c>
      <c r="E37" s="7">
        <v>171.32999999999998</v>
      </c>
      <c r="F37" s="7">
        <v>221.43999999999997</v>
      </c>
      <c r="G37" s="7">
        <v>1643.5749999999998</v>
      </c>
    </row>
    <row r="38" spans="1:7" x14ac:dyDescent="0.3">
      <c r="B38" t="s">
        <v>6212</v>
      </c>
      <c r="C38" s="7">
        <v>299.07</v>
      </c>
      <c r="D38" s="7">
        <v>260.32499999999999</v>
      </c>
      <c r="E38" s="7">
        <v>584.64</v>
      </c>
      <c r="F38" s="7">
        <v>256.36500000000001</v>
      </c>
      <c r="G38" s="7">
        <v>1400.3999999999999</v>
      </c>
    </row>
    <row r="39" spans="1:7" x14ac:dyDescent="0.3">
      <c r="B39" t="s">
        <v>6213</v>
      </c>
      <c r="C39" s="7">
        <v>323.32499999999999</v>
      </c>
      <c r="D39" s="7">
        <v>565.57000000000005</v>
      </c>
      <c r="E39" s="7">
        <v>537.80999999999995</v>
      </c>
      <c r="F39" s="7">
        <v>189.47499999999999</v>
      </c>
      <c r="G39" s="7">
        <v>1616.1799999999998</v>
      </c>
    </row>
    <row r="40" spans="1:7" x14ac:dyDescent="0.3">
      <c r="B40" t="s">
        <v>6214</v>
      </c>
      <c r="C40" s="7">
        <v>399.48499999999996</v>
      </c>
      <c r="D40" s="7">
        <v>148.19999999999999</v>
      </c>
      <c r="E40" s="7">
        <v>388.21999999999997</v>
      </c>
      <c r="F40" s="7">
        <v>212.07499999999999</v>
      </c>
      <c r="G40" s="7">
        <v>1147.98</v>
      </c>
    </row>
    <row r="41" spans="1:7" x14ac:dyDescent="0.3">
      <c r="A41" t="s">
        <v>6202</v>
      </c>
      <c r="B41" t="s">
        <v>6203</v>
      </c>
      <c r="C41" s="7">
        <v>112.69499999999999</v>
      </c>
      <c r="D41" s="7">
        <v>166.32</v>
      </c>
      <c r="E41" s="7">
        <v>843.71499999999992</v>
      </c>
      <c r="F41" s="7">
        <v>146.685</v>
      </c>
      <c r="G41" s="7">
        <v>1269.415</v>
      </c>
    </row>
    <row r="42" spans="1:7" x14ac:dyDescent="0.3">
      <c r="B42" t="s">
        <v>6204</v>
      </c>
      <c r="C42" s="7">
        <v>114.87999999999998</v>
      </c>
      <c r="D42" s="7">
        <v>133.815</v>
      </c>
      <c r="E42" s="7">
        <v>91.175000000000011</v>
      </c>
      <c r="F42" s="7">
        <v>53.759999999999991</v>
      </c>
      <c r="G42" s="7">
        <v>393.63</v>
      </c>
    </row>
    <row r="43" spans="1:7" x14ac:dyDescent="0.3">
      <c r="B43" t="s">
        <v>6205</v>
      </c>
      <c r="C43" s="7">
        <v>277.76</v>
      </c>
      <c r="D43" s="7">
        <v>175.41</v>
      </c>
      <c r="E43" s="7">
        <v>462.50999999999993</v>
      </c>
      <c r="F43" s="7">
        <v>399.52499999999998</v>
      </c>
      <c r="G43" s="7">
        <v>1315.2049999999999</v>
      </c>
    </row>
    <row r="44" spans="1:7" x14ac:dyDescent="0.3">
      <c r="B44" t="s">
        <v>6206</v>
      </c>
      <c r="C44" s="7">
        <v>197.89499999999998</v>
      </c>
      <c r="D44" s="7">
        <v>289.755</v>
      </c>
      <c r="E44" s="7">
        <v>88.545000000000002</v>
      </c>
      <c r="F44" s="7">
        <v>200.25499999999997</v>
      </c>
      <c r="G44" s="7">
        <v>776.44999999999993</v>
      </c>
    </row>
    <row r="45" spans="1:7" x14ac:dyDescent="0.3">
      <c r="B45" t="s">
        <v>6207</v>
      </c>
      <c r="C45" s="7">
        <v>193.11499999999998</v>
      </c>
      <c r="D45" s="7">
        <v>212.49499999999998</v>
      </c>
      <c r="E45" s="7">
        <v>292.29000000000002</v>
      </c>
      <c r="F45" s="7">
        <v>304.46999999999997</v>
      </c>
      <c r="G45" s="7">
        <v>1002.3699999999999</v>
      </c>
    </row>
    <row r="46" spans="1:7" x14ac:dyDescent="0.3">
      <c r="B46" t="s">
        <v>6208</v>
      </c>
      <c r="C46" s="7">
        <v>179.79</v>
      </c>
      <c r="D46" s="7">
        <v>426.2</v>
      </c>
      <c r="E46" s="7">
        <v>170.08999999999997</v>
      </c>
      <c r="F46" s="7">
        <v>379.31</v>
      </c>
      <c r="G46" s="7">
        <v>1155.3899999999999</v>
      </c>
    </row>
    <row r="47" spans="1:7" x14ac:dyDescent="0.3">
      <c r="B47" t="s">
        <v>6209</v>
      </c>
      <c r="C47" s="7">
        <v>247.28999999999996</v>
      </c>
      <c r="D47" s="7">
        <v>246.685</v>
      </c>
      <c r="E47" s="7">
        <v>271.05499999999995</v>
      </c>
      <c r="F47" s="7">
        <v>141.69999999999999</v>
      </c>
      <c r="G47" s="7">
        <v>906.73</v>
      </c>
    </row>
    <row r="48" spans="1:7" x14ac:dyDescent="0.3">
      <c r="B48" t="s">
        <v>6210</v>
      </c>
      <c r="C48" s="7">
        <v>116.39499999999998</v>
      </c>
      <c r="D48" s="7">
        <v>41.25</v>
      </c>
      <c r="E48" s="7">
        <v>15.54</v>
      </c>
      <c r="F48" s="7">
        <v>71.06</v>
      </c>
      <c r="G48" s="7">
        <v>244.24499999999998</v>
      </c>
    </row>
    <row r="49" spans="1:7" x14ac:dyDescent="0.3">
      <c r="A49" t="s">
        <v>6198</v>
      </c>
      <c r="C49" s="7">
        <v>11768.495000000003</v>
      </c>
      <c r="D49" s="7">
        <v>12306.440000000002</v>
      </c>
      <c r="E49" s="7">
        <v>12054.075000000003</v>
      </c>
      <c r="F49" s="7">
        <v>9005.244999999999</v>
      </c>
      <c r="G49" s="7">
        <v>45134.255000000005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90011-FFC9-493A-BEE1-6A3D1607BC1A}">
  <dimension ref="A3:B9"/>
  <sheetViews>
    <sheetView zoomScale="70" zoomScaleNormal="70" workbookViewId="0">
      <selection activeCell="B12" sqref="B12"/>
    </sheetView>
  </sheetViews>
  <sheetFormatPr defaultRowHeight="14.4" x14ac:dyDescent="0.3"/>
  <cols>
    <col min="1" max="1" width="18.6640625" bestFit="1" customWidth="1"/>
    <col min="2" max="3" width="11.88671875" bestFit="1" customWidth="1"/>
    <col min="4" max="5" width="20.44140625" bestFit="1" customWidth="1"/>
    <col min="6" max="7" width="11.109375" bestFit="1" customWidth="1"/>
  </cols>
  <sheetData>
    <row r="3" spans="1:2" x14ac:dyDescent="0.3">
      <c r="A3" s="6" t="s">
        <v>4</v>
      </c>
      <c r="B3" t="s">
        <v>6221</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row r="9" spans="1:2" x14ac:dyDescent="0.3">
      <c r="A9" t="s">
        <v>6198</v>
      </c>
      <c r="B9" s="10">
        <v>1472.9099999999999</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83E5F-16EC-4FCC-AD1B-D1112BE07F32}">
  <dimension ref="A3:B7"/>
  <sheetViews>
    <sheetView zoomScale="70" zoomScaleNormal="70" workbookViewId="0">
      <selection activeCell="B4" sqref="B4"/>
    </sheetView>
  </sheetViews>
  <sheetFormatPr defaultRowHeight="14.4" x14ac:dyDescent="0.3"/>
  <cols>
    <col min="1" max="1" width="15" bestFit="1" customWidth="1"/>
    <col min="2" max="2" width="11.88671875" bestFit="1" customWidth="1"/>
    <col min="3" max="5" width="20.44140625" bestFit="1" customWidth="1"/>
    <col min="6" max="7" width="11.109375" bestFit="1" customWidth="1"/>
  </cols>
  <sheetData>
    <row r="3" spans="1:2" x14ac:dyDescent="0.3">
      <c r="A3" s="6" t="s">
        <v>7</v>
      </c>
      <c r="B3" t="s">
        <v>6221</v>
      </c>
    </row>
    <row r="4" spans="1:2" x14ac:dyDescent="0.3">
      <c r="A4" t="s">
        <v>28</v>
      </c>
      <c r="B4" s="10">
        <v>2798.5050000000001</v>
      </c>
    </row>
    <row r="5" spans="1:2" x14ac:dyDescent="0.3">
      <c r="A5" t="s">
        <v>318</v>
      </c>
      <c r="B5" s="10">
        <v>6696.8649999999989</v>
      </c>
    </row>
    <row r="6" spans="1:2" x14ac:dyDescent="0.3">
      <c r="A6" t="s">
        <v>19</v>
      </c>
      <c r="B6" s="10">
        <v>35638.88499999998</v>
      </c>
    </row>
    <row r="7" spans="1:2" x14ac:dyDescent="0.3">
      <c r="A7" t="s">
        <v>6198</v>
      </c>
      <c r="B7" s="10">
        <v>45134.254999999976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8790F-9BC4-43CE-9413-F8E825A9FC8B}">
  <dimension ref="A1:P76"/>
  <sheetViews>
    <sheetView workbookViewId="0">
      <selection activeCell="A3" sqref="A3:P76"/>
    </sheetView>
  </sheetViews>
  <sheetFormatPr defaultRowHeight="14.4" x14ac:dyDescent="0.3"/>
  <cols>
    <col min="1" max="1" width="15.109375" bestFit="1" customWidth="1"/>
    <col min="2" max="2" width="12.33203125" bestFit="1" customWidth="1"/>
    <col min="3" max="3" width="15.77734375" bestFit="1" customWidth="1"/>
    <col min="4" max="4" width="12.109375" bestFit="1" customWidth="1"/>
    <col min="5" max="5" width="10.5546875" bestFit="1" customWidth="1"/>
    <col min="6" max="6" width="18.21875" bestFit="1" customWidth="1"/>
    <col min="7" max="7" width="31.44140625" bestFit="1" customWidth="1"/>
    <col min="8" max="8" width="14" bestFit="1" customWidth="1"/>
    <col min="9" max="9" width="13.33203125" bestFit="1" customWidth="1"/>
    <col min="10" max="10" width="12.44140625" bestFit="1" customWidth="1"/>
    <col min="11" max="11" width="9" bestFit="1" customWidth="1"/>
    <col min="12" max="12" width="11.33203125" bestFit="1" customWidth="1"/>
    <col min="13" max="13" width="9" bestFit="1" customWidth="1"/>
    <col min="14" max="14" width="18.88671875" bestFit="1" customWidth="1"/>
    <col min="15" max="15" width="18" bestFit="1" customWidth="1"/>
    <col min="16" max="16" width="13.6640625" bestFit="1" customWidth="1"/>
  </cols>
  <sheetData>
    <row r="1" spans="1:16" x14ac:dyDescent="0.3">
      <c r="A1" s="9" t="s">
        <v>6226</v>
      </c>
    </row>
    <row r="3" spans="1:16" x14ac:dyDescent="0.3">
      <c r="A3" t="s">
        <v>0</v>
      </c>
      <c r="B3" t="s">
        <v>1</v>
      </c>
      <c r="C3" t="s">
        <v>3</v>
      </c>
      <c r="D3" t="s">
        <v>11</v>
      </c>
      <c r="E3" t="s">
        <v>14</v>
      </c>
      <c r="F3" t="s">
        <v>4</v>
      </c>
      <c r="G3" t="s">
        <v>2</v>
      </c>
      <c r="H3" t="s">
        <v>7</v>
      </c>
      <c r="I3" t="s">
        <v>9</v>
      </c>
      <c r="J3" t="s">
        <v>10</v>
      </c>
      <c r="K3" t="s">
        <v>12</v>
      </c>
      <c r="L3" t="s">
        <v>13</v>
      </c>
      <c r="M3" t="s">
        <v>15</v>
      </c>
      <c r="N3" t="s">
        <v>6196</v>
      </c>
      <c r="O3" t="s">
        <v>6197</v>
      </c>
      <c r="P3" t="s">
        <v>6189</v>
      </c>
    </row>
    <row r="4" spans="1:16" x14ac:dyDescent="0.3">
      <c r="A4" t="s">
        <v>6133</v>
      </c>
      <c r="B4" s="8">
        <v>44119</v>
      </c>
      <c r="C4" t="s">
        <v>6134</v>
      </c>
      <c r="D4" t="s">
        <v>6156</v>
      </c>
      <c r="E4">
        <v>3</v>
      </c>
      <c r="F4" t="s">
        <v>6135</v>
      </c>
      <c r="G4" t="s">
        <v>6224</v>
      </c>
      <c r="H4" t="s">
        <v>28</v>
      </c>
      <c r="I4" t="s">
        <v>6194</v>
      </c>
      <c r="J4" t="s">
        <v>6188</v>
      </c>
      <c r="K4">
        <v>0.2</v>
      </c>
      <c r="L4">
        <v>4.125</v>
      </c>
      <c r="M4">
        <v>12.375</v>
      </c>
      <c r="N4" t="s">
        <v>6218</v>
      </c>
      <c r="O4" t="s">
        <v>6222</v>
      </c>
      <c r="P4" t="s">
        <v>6190</v>
      </c>
    </row>
    <row r="5" spans="1:16" x14ac:dyDescent="0.3">
      <c r="A5" t="s">
        <v>6076</v>
      </c>
      <c r="B5" s="8">
        <v>43897</v>
      </c>
      <c r="C5" t="s">
        <v>6077</v>
      </c>
      <c r="D5" t="s">
        <v>6138</v>
      </c>
      <c r="E5">
        <v>3</v>
      </c>
      <c r="F5" t="s">
        <v>6078</v>
      </c>
      <c r="G5" t="s">
        <v>6224</v>
      </c>
      <c r="H5" t="s">
        <v>28</v>
      </c>
      <c r="I5" t="s">
        <v>6192</v>
      </c>
      <c r="J5" t="s">
        <v>6188</v>
      </c>
      <c r="K5">
        <v>1</v>
      </c>
      <c r="L5">
        <v>9.9499999999999993</v>
      </c>
      <c r="M5">
        <v>29.849999999999998</v>
      </c>
      <c r="N5" t="s">
        <v>6220</v>
      </c>
      <c r="O5" t="s">
        <v>6222</v>
      </c>
      <c r="P5" t="s">
        <v>6190</v>
      </c>
    </row>
    <row r="6" spans="1:16" x14ac:dyDescent="0.3">
      <c r="A6" t="s">
        <v>6070</v>
      </c>
      <c r="B6" s="8">
        <v>44247</v>
      </c>
      <c r="C6" t="s">
        <v>6071</v>
      </c>
      <c r="D6" t="s">
        <v>6158</v>
      </c>
      <c r="E6">
        <v>5</v>
      </c>
      <c r="F6" t="s">
        <v>6072</v>
      </c>
      <c r="G6" t="s">
        <v>6073</v>
      </c>
      <c r="H6" t="s">
        <v>28</v>
      </c>
      <c r="I6" t="s">
        <v>6193</v>
      </c>
      <c r="J6" t="s">
        <v>6187</v>
      </c>
      <c r="K6">
        <v>0.5</v>
      </c>
      <c r="L6">
        <v>5.97</v>
      </c>
      <c r="M6">
        <v>29.849999999999998</v>
      </c>
      <c r="N6" t="s">
        <v>6217</v>
      </c>
      <c r="O6" t="s">
        <v>6223</v>
      </c>
      <c r="P6" t="s">
        <v>6190</v>
      </c>
    </row>
    <row r="7" spans="1:16" x14ac:dyDescent="0.3">
      <c r="A7" t="s">
        <v>5849</v>
      </c>
      <c r="B7" s="8">
        <v>44445</v>
      </c>
      <c r="C7" t="s">
        <v>5850</v>
      </c>
      <c r="D7" t="s">
        <v>6185</v>
      </c>
      <c r="E7">
        <v>3</v>
      </c>
      <c r="F7" t="s">
        <v>5851</v>
      </c>
      <c r="G7" t="s">
        <v>5852</v>
      </c>
      <c r="H7" t="s">
        <v>28</v>
      </c>
      <c r="I7" t="s">
        <v>6194</v>
      </c>
      <c r="J7" t="s">
        <v>6187</v>
      </c>
      <c r="K7">
        <v>2.5</v>
      </c>
      <c r="L7">
        <v>27.945</v>
      </c>
      <c r="M7">
        <v>83.835000000000008</v>
      </c>
      <c r="N7" t="s">
        <v>6218</v>
      </c>
      <c r="O7" t="s">
        <v>6223</v>
      </c>
      <c r="P7" t="s">
        <v>6190</v>
      </c>
    </row>
    <row r="8" spans="1:16" x14ac:dyDescent="0.3">
      <c r="A8" t="s">
        <v>5676</v>
      </c>
      <c r="B8" s="8">
        <v>44573</v>
      </c>
      <c r="C8" t="s">
        <v>5677</v>
      </c>
      <c r="D8" t="s">
        <v>6144</v>
      </c>
      <c r="E8">
        <v>3</v>
      </c>
      <c r="F8" t="s">
        <v>5678</v>
      </c>
      <c r="G8" t="s">
        <v>5679</v>
      </c>
      <c r="H8" t="s">
        <v>28</v>
      </c>
      <c r="I8" t="s">
        <v>6194</v>
      </c>
      <c r="J8" t="s">
        <v>6187</v>
      </c>
      <c r="K8">
        <v>0.5</v>
      </c>
      <c r="L8">
        <v>7.29</v>
      </c>
      <c r="M8">
        <v>21.87</v>
      </c>
      <c r="N8" t="s">
        <v>6218</v>
      </c>
      <c r="O8" t="s">
        <v>6223</v>
      </c>
      <c r="P8" t="s">
        <v>6191</v>
      </c>
    </row>
    <row r="9" spans="1:16" x14ac:dyDescent="0.3">
      <c r="A9" t="s">
        <v>5676</v>
      </c>
      <c r="B9" s="8">
        <v>44573</v>
      </c>
      <c r="C9" t="s">
        <v>5677</v>
      </c>
      <c r="D9" t="s">
        <v>6157</v>
      </c>
      <c r="E9">
        <v>1</v>
      </c>
      <c r="F9" t="s">
        <v>5678</v>
      </c>
      <c r="G9" t="s">
        <v>5679</v>
      </c>
      <c r="H9" t="s">
        <v>28</v>
      </c>
      <c r="I9" t="s">
        <v>6193</v>
      </c>
      <c r="J9" t="s">
        <v>6188</v>
      </c>
      <c r="K9">
        <v>0.5</v>
      </c>
      <c r="L9">
        <v>6.75</v>
      </c>
      <c r="M9">
        <v>6.75</v>
      </c>
      <c r="N9" t="s">
        <v>6217</v>
      </c>
      <c r="O9" t="s">
        <v>6222</v>
      </c>
      <c r="P9" t="s">
        <v>6191</v>
      </c>
    </row>
    <row r="10" spans="1:16" x14ac:dyDescent="0.3">
      <c r="A10" t="s">
        <v>5564</v>
      </c>
      <c r="B10" s="8">
        <v>43932</v>
      </c>
      <c r="C10" t="s">
        <v>5565</v>
      </c>
      <c r="D10" t="s">
        <v>6183</v>
      </c>
      <c r="E10">
        <v>2</v>
      </c>
      <c r="F10" t="s">
        <v>5566</v>
      </c>
      <c r="G10" t="s">
        <v>5567</v>
      </c>
      <c r="H10" t="s">
        <v>28</v>
      </c>
      <c r="I10" t="s">
        <v>6194</v>
      </c>
      <c r="J10" t="s">
        <v>6187</v>
      </c>
      <c r="K10">
        <v>1</v>
      </c>
      <c r="L10">
        <v>12.15</v>
      </c>
      <c r="M10">
        <v>24.3</v>
      </c>
      <c r="N10" t="s">
        <v>6218</v>
      </c>
      <c r="O10" t="s">
        <v>6223</v>
      </c>
      <c r="P10" t="s">
        <v>6191</v>
      </c>
    </row>
    <row r="11" spans="1:16" x14ac:dyDescent="0.3">
      <c r="A11" t="s">
        <v>5537</v>
      </c>
      <c r="B11" s="8">
        <v>43635</v>
      </c>
      <c r="C11" t="s">
        <v>5538</v>
      </c>
      <c r="D11" t="s">
        <v>6156</v>
      </c>
      <c r="E11">
        <v>5</v>
      </c>
      <c r="F11" t="s">
        <v>5539</v>
      </c>
      <c r="G11" t="s">
        <v>5540</v>
      </c>
      <c r="H11" t="s">
        <v>28</v>
      </c>
      <c r="I11" t="s">
        <v>6194</v>
      </c>
      <c r="J11" t="s">
        <v>6188</v>
      </c>
      <c r="K11">
        <v>0.2</v>
      </c>
      <c r="L11">
        <v>4.125</v>
      </c>
      <c r="M11">
        <v>20.625</v>
      </c>
      <c r="N11" t="s">
        <v>6218</v>
      </c>
      <c r="O11" t="s">
        <v>6222</v>
      </c>
      <c r="P11" t="s">
        <v>6191</v>
      </c>
    </row>
    <row r="12" spans="1:16" x14ac:dyDescent="0.3">
      <c r="A12" t="s">
        <v>5413</v>
      </c>
      <c r="B12" s="8">
        <v>43707</v>
      </c>
      <c r="C12" t="s">
        <v>5414</v>
      </c>
      <c r="D12" t="s">
        <v>6171</v>
      </c>
      <c r="E12">
        <v>2</v>
      </c>
      <c r="F12" t="s">
        <v>5415</v>
      </c>
      <c r="G12" t="s">
        <v>5416</v>
      </c>
      <c r="H12" t="s">
        <v>28</v>
      </c>
      <c r="I12" t="s">
        <v>6194</v>
      </c>
      <c r="J12" t="s">
        <v>6186</v>
      </c>
      <c r="K12">
        <v>1</v>
      </c>
      <c r="L12">
        <v>14.85</v>
      </c>
      <c r="M12">
        <v>29.7</v>
      </c>
      <c r="N12" t="s">
        <v>6218</v>
      </c>
      <c r="O12" t="s">
        <v>6225</v>
      </c>
      <c r="P12" t="s">
        <v>6190</v>
      </c>
    </row>
    <row r="13" spans="1:16" x14ac:dyDescent="0.3">
      <c r="A13" t="s">
        <v>5046</v>
      </c>
      <c r="B13" s="8">
        <v>44241</v>
      </c>
      <c r="C13" t="s">
        <v>5047</v>
      </c>
      <c r="D13" t="s">
        <v>6150</v>
      </c>
      <c r="E13">
        <v>2</v>
      </c>
      <c r="F13" t="s">
        <v>5048</v>
      </c>
      <c r="G13" t="s">
        <v>6224</v>
      </c>
      <c r="H13" t="s">
        <v>28</v>
      </c>
      <c r="I13" t="s">
        <v>6195</v>
      </c>
      <c r="J13" t="s">
        <v>6187</v>
      </c>
      <c r="K13">
        <v>0.2</v>
      </c>
      <c r="L13">
        <v>3.8849999999999998</v>
      </c>
      <c r="M13">
        <v>7.77</v>
      </c>
      <c r="N13" t="s">
        <v>6219</v>
      </c>
      <c r="O13" t="s">
        <v>6223</v>
      </c>
      <c r="P13" t="s">
        <v>6190</v>
      </c>
    </row>
    <row r="14" spans="1:16" x14ac:dyDescent="0.3">
      <c r="A14" t="s">
        <v>5035</v>
      </c>
      <c r="B14" s="8">
        <v>44289</v>
      </c>
      <c r="C14" t="s">
        <v>5036</v>
      </c>
      <c r="D14" t="s">
        <v>6179</v>
      </c>
      <c r="E14">
        <v>2</v>
      </c>
      <c r="F14" t="s">
        <v>5037</v>
      </c>
      <c r="G14" t="s">
        <v>6224</v>
      </c>
      <c r="H14" t="s">
        <v>28</v>
      </c>
      <c r="I14" t="s">
        <v>6192</v>
      </c>
      <c r="J14" t="s">
        <v>6186</v>
      </c>
      <c r="K14">
        <v>1</v>
      </c>
      <c r="L14">
        <v>11.95</v>
      </c>
      <c r="M14">
        <v>23.9</v>
      </c>
      <c r="N14" t="s">
        <v>6220</v>
      </c>
      <c r="O14" t="s">
        <v>6225</v>
      </c>
      <c r="P14" t="s">
        <v>6191</v>
      </c>
    </row>
    <row r="15" spans="1:16" x14ac:dyDescent="0.3">
      <c r="A15" t="s">
        <v>4967</v>
      </c>
      <c r="B15" s="8">
        <v>43545</v>
      </c>
      <c r="C15" t="s">
        <v>4968</v>
      </c>
      <c r="D15" t="s">
        <v>6160</v>
      </c>
      <c r="E15">
        <v>6</v>
      </c>
      <c r="F15" t="s">
        <v>4969</v>
      </c>
      <c r="G15" t="s">
        <v>4970</v>
      </c>
      <c r="H15" t="s">
        <v>28</v>
      </c>
      <c r="I15" t="s">
        <v>6195</v>
      </c>
      <c r="J15" t="s">
        <v>6188</v>
      </c>
      <c r="K15">
        <v>0.5</v>
      </c>
      <c r="L15">
        <v>8.73</v>
      </c>
      <c r="M15">
        <v>52.38</v>
      </c>
      <c r="N15" t="s">
        <v>6219</v>
      </c>
      <c r="O15" t="s">
        <v>6222</v>
      </c>
      <c r="P15" t="s">
        <v>6190</v>
      </c>
    </row>
    <row r="16" spans="1:16" x14ac:dyDescent="0.3">
      <c r="A16" t="s">
        <v>4836</v>
      </c>
      <c r="B16" s="8">
        <v>43912</v>
      </c>
      <c r="C16" t="s">
        <v>4837</v>
      </c>
      <c r="D16" t="s">
        <v>6151</v>
      </c>
      <c r="E16">
        <v>6</v>
      </c>
      <c r="F16" t="s">
        <v>4838</v>
      </c>
      <c r="G16" t="s">
        <v>4839</v>
      </c>
      <c r="H16" t="s">
        <v>28</v>
      </c>
      <c r="I16" t="s">
        <v>6192</v>
      </c>
      <c r="J16" t="s">
        <v>6188</v>
      </c>
      <c r="K16">
        <v>2.5</v>
      </c>
      <c r="L16">
        <v>22.884999999999998</v>
      </c>
      <c r="M16">
        <v>137.31</v>
      </c>
      <c r="N16" t="s">
        <v>6220</v>
      </c>
      <c r="O16" t="s">
        <v>6222</v>
      </c>
      <c r="P16" t="s">
        <v>6191</v>
      </c>
    </row>
    <row r="17" spans="1:16" x14ac:dyDescent="0.3">
      <c r="A17" t="s">
        <v>4797</v>
      </c>
      <c r="B17" s="8">
        <v>43563</v>
      </c>
      <c r="C17" t="s">
        <v>4798</v>
      </c>
      <c r="D17" t="s">
        <v>6160</v>
      </c>
      <c r="E17">
        <v>5</v>
      </c>
      <c r="F17" t="s">
        <v>4799</v>
      </c>
      <c r="G17" t="s">
        <v>4800</v>
      </c>
      <c r="H17" t="s">
        <v>28</v>
      </c>
      <c r="I17" t="s">
        <v>6195</v>
      </c>
      <c r="J17" t="s">
        <v>6188</v>
      </c>
      <c r="K17">
        <v>0.5</v>
      </c>
      <c r="L17">
        <v>8.73</v>
      </c>
      <c r="M17">
        <v>43.650000000000006</v>
      </c>
      <c r="N17" t="s">
        <v>6219</v>
      </c>
      <c r="O17" t="s">
        <v>6222</v>
      </c>
      <c r="P17" t="s">
        <v>6191</v>
      </c>
    </row>
    <row r="18" spans="1:16" x14ac:dyDescent="0.3">
      <c r="A18" t="s">
        <v>4659</v>
      </c>
      <c r="B18" s="8">
        <v>43812</v>
      </c>
      <c r="C18" t="s">
        <v>4660</v>
      </c>
      <c r="D18" t="s">
        <v>6178</v>
      </c>
      <c r="E18">
        <v>3</v>
      </c>
      <c r="F18" t="s">
        <v>4661</v>
      </c>
      <c r="G18" t="s">
        <v>4662</v>
      </c>
      <c r="H18" t="s">
        <v>28</v>
      </c>
      <c r="I18" t="s">
        <v>6192</v>
      </c>
      <c r="J18" t="s">
        <v>6186</v>
      </c>
      <c r="K18">
        <v>0.2</v>
      </c>
      <c r="L18">
        <v>3.5849999999999995</v>
      </c>
      <c r="M18">
        <v>10.754999999999999</v>
      </c>
      <c r="N18" t="s">
        <v>6220</v>
      </c>
      <c r="O18" t="s">
        <v>6225</v>
      </c>
      <c r="P18" t="s">
        <v>6191</v>
      </c>
    </row>
    <row r="19" spans="1:16" x14ac:dyDescent="0.3">
      <c r="A19" t="s">
        <v>4608</v>
      </c>
      <c r="B19" s="8">
        <v>44634</v>
      </c>
      <c r="C19" t="s">
        <v>4609</v>
      </c>
      <c r="D19" t="s">
        <v>6159</v>
      </c>
      <c r="E19">
        <v>1</v>
      </c>
      <c r="F19" t="s">
        <v>4610</v>
      </c>
      <c r="G19" t="s">
        <v>4611</v>
      </c>
      <c r="H19" t="s">
        <v>28</v>
      </c>
      <c r="I19" t="s">
        <v>6195</v>
      </c>
      <c r="J19" t="s">
        <v>6188</v>
      </c>
      <c r="K19">
        <v>0.2</v>
      </c>
      <c r="L19">
        <v>4.3650000000000002</v>
      </c>
      <c r="M19">
        <v>4.3650000000000002</v>
      </c>
      <c r="N19" t="s">
        <v>6219</v>
      </c>
      <c r="O19" t="s">
        <v>6222</v>
      </c>
      <c r="P19" t="s">
        <v>6191</v>
      </c>
    </row>
    <row r="20" spans="1:16" x14ac:dyDescent="0.3">
      <c r="A20" t="s">
        <v>4512</v>
      </c>
      <c r="B20" s="8">
        <v>43646</v>
      </c>
      <c r="C20" t="s">
        <v>4513</v>
      </c>
      <c r="D20" t="s">
        <v>6139</v>
      </c>
      <c r="E20">
        <v>2</v>
      </c>
      <c r="F20" t="s">
        <v>4514</v>
      </c>
      <c r="G20" t="s">
        <v>6224</v>
      </c>
      <c r="H20" t="s">
        <v>28</v>
      </c>
      <c r="I20" t="s">
        <v>6194</v>
      </c>
      <c r="J20" t="s">
        <v>6188</v>
      </c>
      <c r="K20">
        <v>0.5</v>
      </c>
      <c r="L20">
        <v>8.25</v>
      </c>
      <c r="M20">
        <v>16.5</v>
      </c>
      <c r="N20" t="s">
        <v>6218</v>
      </c>
      <c r="O20" t="s">
        <v>6222</v>
      </c>
      <c r="P20" t="s">
        <v>6191</v>
      </c>
    </row>
    <row r="21" spans="1:16" x14ac:dyDescent="0.3">
      <c r="A21" t="s">
        <v>4336</v>
      </c>
      <c r="B21" s="8">
        <v>44080</v>
      </c>
      <c r="C21" t="s">
        <v>4337</v>
      </c>
      <c r="D21" t="s">
        <v>6145</v>
      </c>
      <c r="E21">
        <v>2</v>
      </c>
      <c r="F21" t="s">
        <v>4338</v>
      </c>
      <c r="G21" t="s">
        <v>4339</v>
      </c>
      <c r="H21" t="s">
        <v>28</v>
      </c>
      <c r="I21" t="s">
        <v>6195</v>
      </c>
      <c r="J21" t="s">
        <v>6186</v>
      </c>
      <c r="K21">
        <v>0.2</v>
      </c>
      <c r="L21">
        <v>4.7549999999999999</v>
      </c>
      <c r="M21">
        <v>9.51</v>
      </c>
      <c r="N21" t="s">
        <v>6219</v>
      </c>
      <c r="O21" t="s">
        <v>6225</v>
      </c>
      <c r="P21" t="s">
        <v>6190</v>
      </c>
    </row>
    <row r="22" spans="1:16" x14ac:dyDescent="0.3">
      <c r="A22" t="s">
        <v>4325</v>
      </c>
      <c r="B22" s="8">
        <v>44645</v>
      </c>
      <c r="C22" t="s">
        <v>4326</v>
      </c>
      <c r="D22" t="s">
        <v>6142</v>
      </c>
      <c r="E22">
        <v>1</v>
      </c>
      <c r="F22" t="s">
        <v>4327</v>
      </c>
      <c r="G22" t="s">
        <v>4328</v>
      </c>
      <c r="H22" t="s">
        <v>28</v>
      </c>
      <c r="I22" t="s">
        <v>6192</v>
      </c>
      <c r="J22" t="s">
        <v>6186</v>
      </c>
      <c r="K22">
        <v>2.5</v>
      </c>
      <c r="L22">
        <v>27.484999999999996</v>
      </c>
      <c r="M22">
        <v>27.484999999999996</v>
      </c>
      <c r="N22" t="s">
        <v>6220</v>
      </c>
      <c r="O22" t="s">
        <v>6225</v>
      </c>
      <c r="P22" t="s">
        <v>6191</v>
      </c>
    </row>
    <row r="23" spans="1:16" x14ac:dyDescent="0.3">
      <c r="A23" t="s">
        <v>4157</v>
      </c>
      <c r="B23" s="8">
        <v>44015</v>
      </c>
      <c r="C23" t="s">
        <v>4158</v>
      </c>
      <c r="D23" t="s">
        <v>6170</v>
      </c>
      <c r="E23">
        <v>6</v>
      </c>
      <c r="F23" t="s">
        <v>4159</v>
      </c>
      <c r="G23" t="s">
        <v>4160</v>
      </c>
      <c r="H23" t="s">
        <v>28</v>
      </c>
      <c r="I23" t="s">
        <v>6195</v>
      </c>
      <c r="J23" t="s">
        <v>6186</v>
      </c>
      <c r="K23">
        <v>1</v>
      </c>
      <c r="L23">
        <v>15.85</v>
      </c>
      <c r="M23">
        <v>95.1</v>
      </c>
      <c r="N23" t="s">
        <v>6219</v>
      </c>
      <c r="O23" t="s">
        <v>6225</v>
      </c>
      <c r="P23" t="s">
        <v>6191</v>
      </c>
    </row>
    <row r="24" spans="1:16" x14ac:dyDescent="0.3">
      <c r="A24" t="s">
        <v>4145</v>
      </c>
      <c r="B24" s="8">
        <v>44502</v>
      </c>
      <c r="C24" t="s">
        <v>4146</v>
      </c>
      <c r="D24" t="s">
        <v>6161</v>
      </c>
      <c r="E24">
        <v>3</v>
      </c>
      <c r="F24" t="s">
        <v>4147</v>
      </c>
      <c r="G24" t="s">
        <v>4148</v>
      </c>
      <c r="H24" t="s">
        <v>28</v>
      </c>
      <c r="I24" t="s">
        <v>6195</v>
      </c>
      <c r="J24" t="s">
        <v>6186</v>
      </c>
      <c r="K24">
        <v>0.5</v>
      </c>
      <c r="L24">
        <v>9.51</v>
      </c>
      <c r="M24">
        <v>28.53</v>
      </c>
      <c r="N24" t="s">
        <v>6219</v>
      </c>
      <c r="O24" t="s">
        <v>6225</v>
      </c>
      <c r="P24" t="s">
        <v>6190</v>
      </c>
    </row>
    <row r="25" spans="1:16" x14ac:dyDescent="0.3">
      <c r="A25" t="s">
        <v>4115</v>
      </c>
      <c r="B25" s="8">
        <v>43880</v>
      </c>
      <c r="C25" t="s">
        <v>4116</v>
      </c>
      <c r="D25" t="s">
        <v>6156</v>
      </c>
      <c r="E25">
        <v>2</v>
      </c>
      <c r="F25" t="s">
        <v>4117</v>
      </c>
      <c r="G25" t="s">
        <v>4118</v>
      </c>
      <c r="H25" t="s">
        <v>28</v>
      </c>
      <c r="I25" t="s">
        <v>6194</v>
      </c>
      <c r="J25" t="s">
        <v>6188</v>
      </c>
      <c r="K25">
        <v>0.2</v>
      </c>
      <c r="L25">
        <v>4.125</v>
      </c>
      <c r="M25">
        <v>8.25</v>
      </c>
      <c r="N25" t="s">
        <v>6218</v>
      </c>
      <c r="O25" t="s">
        <v>6222</v>
      </c>
      <c r="P25" t="s">
        <v>6190</v>
      </c>
    </row>
    <row r="26" spans="1:16" x14ac:dyDescent="0.3">
      <c r="A26" t="s">
        <v>4007</v>
      </c>
      <c r="B26" s="8">
        <v>44224</v>
      </c>
      <c r="C26" t="s">
        <v>4008</v>
      </c>
      <c r="D26" t="s">
        <v>6183</v>
      </c>
      <c r="E26">
        <v>1</v>
      </c>
      <c r="F26" t="s">
        <v>4009</v>
      </c>
      <c r="G26" t="s">
        <v>6224</v>
      </c>
      <c r="H26" t="s">
        <v>28</v>
      </c>
      <c r="I26" t="s">
        <v>6194</v>
      </c>
      <c r="J26" t="s">
        <v>6187</v>
      </c>
      <c r="K26">
        <v>1</v>
      </c>
      <c r="L26">
        <v>12.15</v>
      </c>
      <c r="M26">
        <v>12.15</v>
      </c>
      <c r="N26" t="s">
        <v>6218</v>
      </c>
      <c r="O26" t="s">
        <v>6223</v>
      </c>
      <c r="P26" t="s">
        <v>6191</v>
      </c>
    </row>
    <row r="27" spans="1:16" x14ac:dyDescent="0.3">
      <c r="A27" t="s">
        <v>3966</v>
      </c>
      <c r="B27" s="8">
        <v>44271</v>
      </c>
      <c r="C27" t="s">
        <v>3967</v>
      </c>
      <c r="D27" t="s">
        <v>6166</v>
      </c>
      <c r="E27">
        <v>4</v>
      </c>
      <c r="F27" t="s">
        <v>3968</v>
      </c>
      <c r="G27" t="s">
        <v>3969</v>
      </c>
      <c r="H27" t="s">
        <v>28</v>
      </c>
      <c r="I27" t="s">
        <v>6194</v>
      </c>
      <c r="J27" t="s">
        <v>6188</v>
      </c>
      <c r="K27">
        <v>2.5</v>
      </c>
      <c r="L27">
        <v>31.624999999999996</v>
      </c>
      <c r="M27">
        <v>126.49999999999999</v>
      </c>
      <c r="N27" t="s">
        <v>6218</v>
      </c>
      <c r="O27" t="s">
        <v>6222</v>
      </c>
      <c r="P27" t="s">
        <v>6191</v>
      </c>
    </row>
    <row r="28" spans="1:16" x14ac:dyDescent="0.3">
      <c r="A28" t="s">
        <v>3955</v>
      </c>
      <c r="B28" s="8">
        <v>43944</v>
      </c>
      <c r="C28" t="s">
        <v>3840</v>
      </c>
      <c r="D28" t="s">
        <v>6146</v>
      </c>
      <c r="E28">
        <v>5</v>
      </c>
      <c r="F28" t="s">
        <v>3841</v>
      </c>
      <c r="G28" t="s">
        <v>3842</v>
      </c>
      <c r="H28" t="s">
        <v>28</v>
      </c>
      <c r="I28" t="s">
        <v>6192</v>
      </c>
      <c r="J28" t="s">
        <v>6188</v>
      </c>
      <c r="K28">
        <v>0.5</v>
      </c>
      <c r="L28">
        <v>5.97</v>
      </c>
      <c r="M28">
        <v>29.849999999999998</v>
      </c>
      <c r="N28" t="s">
        <v>6220</v>
      </c>
      <c r="O28" t="s">
        <v>6222</v>
      </c>
      <c r="P28" t="s">
        <v>6190</v>
      </c>
    </row>
    <row r="29" spans="1:16" x14ac:dyDescent="0.3">
      <c r="A29" t="s">
        <v>3911</v>
      </c>
      <c r="B29" s="8">
        <v>44138</v>
      </c>
      <c r="C29" t="s">
        <v>3840</v>
      </c>
      <c r="D29" t="s">
        <v>6164</v>
      </c>
      <c r="E29">
        <v>3</v>
      </c>
      <c r="F29" t="s">
        <v>3841</v>
      </c>
      <c r="G29" t="s">
        <v>3842</v>
      </c>
      <c r="H29" t="s">
        <v>28</v>
      </c>
      <c r="I29" t="s">
        <v>6195</v>
      </c>
      <c r="J29" t="s">
        <v>6186</v>
      </c>
      <c r="K29">
        <v>2.5</v>
      </c>
      <c r="L29">
        <v>36.454999999999998</v>
      </c>
      <c r="M29">
        <v>109.36499999999999</v>
      </c>
      <c r="N29" t="s">
        <v>6219</v>
      </c>
      <c r="O29" t="s">
        <v>6225</v>
      </c>
      <c r="P29" t="s">
        <v>6190</v>
      </c>
    </row>
    <row r="30" spans="1:16" x14ac:dyDescent="0.3">
      <c r="A30" t="s">
        <v>3850</v>
      </c>
      <c r="B30" s="8">
        <v>44527</v>
      </c>
      <c r="C30" t="s">
        <v>3851</v>
      </c>
      <c r="D30" t="s">
        <v>6171</v>
      </c>
      <c r="E30">
        <v>1</v>
      </c>
      <c r="F30" t="s">
        <v>3852</v>
      </c>
      <c r="G30" t="s">
        <v>6224</v>
      </c>
      <c r="H30" t="s">
        <v>28</v>
      </c>
      <c r="I30" t="s">
        <v>6194</v>
      </c>
      <c r="J30" t="s">
        <v>6186</v>
      </c>
      <c r="K30">
        <v>1</v>
      </c>
      <c r="L30">
        <v>14.85</v>
      </c>
      <c r="M30">
        <v>14.85</v>
      </c>
      <c r="N30" t="s">
        <v>6218</v>
      </c>
      <c r="O30" t="s">
        <v>6225</v>
      </c>
      <c r="P30" t="s">
        <v>6191</v>
      </c>
    </row>
    <row r="31" spans="1:16" x14ac:dyDescent="0.3">
      <c r="A31" t="s">
        <v>3839</v>
      </c>
      <c r="B31" s="8">
        <v>43903</v>
      </c>
      <c r="C31" t="s">
        <v>3840</v>
      </c>
      <c r="D31" t="s">
        <v>6185</v>
      </c>
      <c r="E31">
        <v>1</v>
      </c>
      <c r="F31" t="s">
        <v>3841</v>
      </c>
      <c r="G31" t="s">
        <v>3842</v>
      </c>
      <c r="H31" t="s">
        <v>28</v>
      </c>
      <c r="I31" t="s">
        <v>6194</v>
      </c>
      <c r="J31" t="s">
        <v>6187</v>
      </c>
      <c r="K31">
        <v>2.5</v>
      </c>
      <c r="L31">
        <v>27.945</v>
      </c>
      <c r="M31">
        <v>27.945</v>
      </c>
      <c r="N31" t="s">
        <v>6218</v>
      </c>
      <c r="O31" t="s">
        <v>6223</v>
      </c>
      <c r="P31" t="s">
        <v>6190</v>
      </c>
    </row>
    <row r="32" spans="1:16" x14ac:dyDescent="0.3">
      <c r="A32" t="s">
        <v>3796</v>
      </c>
      <c r="B32" s="8">
        <v>44505</v>
      </c>
      <c r="C32" t="s">
        <v>3840</v>
      </c>
      <c r="D32" t="s">
        <v>6139</v>
      </c>
      <c r="E32">
        <v>2</v>
      </c>
      <c r="F32" t="s">
        <v>3841</v>
      </c>
      <c r="G32" t="s">
        <v>3842</v>
      </c>
      <c r="H32" t="s">
        <v>28</v>
      </c>
      <c r="I32" t="s">
        <v>6194</v>
      </c>
      <c r="J32" t="s">
        <v>6188</v>
      </c>
      <c r="K32">
        <v>0.5</v>
      </c>
      <c r="L32">
        <v>8.25</v>
      </c>
      <c r="M32">
        <v>16.5</v>
      </c>
      <c r="N32" t="s">
        <v>6218</v>
      </c>
      <c r="O32" t="s">
        <v>6222</v>
      </c>
      <c r="P32" t="s">
        <v>6190</v>
      </c>
    </row>
    <row r="33" spans="1:16" x14ac:dyDescent="0.3">
      <c r="A33" t="s">
        <v>3773</v>
      </c>
      <c r="B33" s="8">
        <v>44190</v>
      </c>
      <c r="C33" t="s">
        <v>3774</v>
      </c>
      <c r="D33" t="s">
        <v>6176</v>
      </c>
      <c r="E33">
        <v>5</v>
      </c>
      <c r="F33" t="s">
        <v>3775</v>
      </c>
      <c r="G33" t="s">
        <v>3776</v>
      </c>
      <c r="H33" t="s">
        <v>28</v>
      </c>
      <c r="I33" t="s">
        <v>6194</v>
      </c>
      <c r="J33" t="s">
        <v>6186</v>
      </c>
      <c r="K33">
        <v>0.5</v>
      </c>
      <c r="L33">
        <v>8.91</v>
      </c>
      <c r="M33">
        <v>44.55</v>
      </c>
      <c r="N33" t="s">
        <v>6218</v>
      </c>
      <c r="O33" t="s">
        <v>6225</v>
      </c>
      <c r="P33" t="s">
        <v>6190</v>
      </c>
    </row>
    <row r="34" spans="1:16" x14ac:dyDescent="0.3">
      <c r="A34" t="s">
        <v>3751</v>
      </c>
      <c r="B34" s="8">
        <v>44410</v>
      </c>
      <c r="C34" t="s">
        <v>3752</v>
      </c>
      <c r="D34" t="s">
        <v>6162</v>
      </c>
      <c r="E34">
        <v>4</v>
      </c>
      <c r="F34" t="s">
        <v>3753</v>
      </c>
      <c r="G34" t="s">
        <v>3754</v>
      </c>
      <c r="H34" t="s">
        <v>28</v>
      </c>
      <c r="I34" t="s">
        <v>6195</v>
      </c>
      <c r="J34" t="s">
        <v>6188</v>
      </c>
      <c r="K34">
        <v>1</v>
      </c>
      <c r="L34">
        <v>14.55</v>
      </c>
      <c r="M34">
        <v>58.2</v>
      </c>
      <c r="N34" t="s">
        <v>6219</v>
      </c>
      <c r="O34" t="s">
        <v>6222</v>
      </c>
      <c r="P34" t="s">
        <v>6191</v>
      </c>
    </row>
    <row r="35" spans="1:16" x14ac:dyDescent="0.3">
      <c r="A35" t="s">
        <v>3718</v>
      </c>
      <c r="B35" s="8">
        <v>44592</v>
      </c>
      <c r="C35" t="s">
        <v>3719</v>
      </c>
      <c r="D35" t="s">
        <v>6176</v>
      </c>
      <c r="E35">
        <v>4</v>
      </c>
      <c r="F35" t="s">
        <v>3720</v>
      </c>
      <c r="G35" t="s">
        <v>3721</v>
      </c>
      <c r="H35" t="s">
        <v>28</v>
      </c>
      <c r="I35" t="s">
        <v>6194</v>
      </c>
      <c r="J35" t="s">
        <v>6186</v>
      </c>
      <c r="K35">
        <v>0.5</v>
      </c>
      <c r="L35">
        <v>8.91</v>
      </c>
      <c r="M35">
        <v>35.64</v>
      </c>
      <c r="N35" t="s">
        <v>6218</v>
      </c>
      <c r="O35" t="s">
        <v>6225</v>
      </c>
      <c r="P35" t="s">
        <v>6191</v>
      </c>
    </row>
    <row r="36" spans="1:16" x14ac:dyDescent="0.3">
      <c r="A36" t="s">
        <v>3706</v>
      </c>
      <c r="B36" s="8">
        <v>43879</v>
      </c>
      <c r="C36" t="s">
        <v>3752</v>
      </c>
      <c r="D36" t="s">
        <v>6168</v>
      </c>
      <c r="E36">
        <v>6</v>
      </c>
      <c r="F36" t="s">
        <v>3753</v>
      </c>
      <c r="G36" t="s">
        <v>3754</v>
      </c>
      <c r="H36" t="s">
        <v>28</v>
      </c>
      <c r="I36" t="s">
        <v>6193</v>
      </c>
      <c r="J36" t="s">
        <v>6187</v>
      </c>
      <c r="K36">
        <v>2.5</v>
      </c>
      <c r="L36">
        <v>22.884999999999998</v>
      </c>
      <c r="M36">
        <v>137.31</v>
      </c>
      <c r="N36" t="s">
        <v>6217</v>
      </c>
      <c r="O36" t="s">
        <v>6223</v>
      </c>
      <c r="P36" t="s">
        <v>6191</v>
      </c>
    </row>
    <row r="37" spans="1:16" x14ac:dyDescent="0.3">
      <c r="A37" t="s">
        <v>3671</v>
      </c>
      <c r="B37" s="8">
        <v>43991</v>
      </c>
      <c r="C37" t="s">
        <v>3752</v>
      </c>
      <c r="D37" t="s">
        <v>6141</v>
      </c>
      <c r="E37">
        <v>6</v>
      </c>
      <c r="F37" t="s">
        <v>3753</v>
      </c>
      <c r="G37" t="s">
        <v>3754</v>
      </c>
      <c r="H37" t="s">
        <v>28</v>
      </c>
      <c r="I37" t="s">
        <v>6194</v>
      </c>
      <c r="J37" t="s">
        <v>6188</v>
      </c>
      <c r="K37">
        <v>1</v>
      </c>
      <c r="L37">
        <v>13.75</v>
      </c>
      <c r="M37">
        <v>82.5</v>
      </c>
      <c r="N37" t="s">
        <v>6218</v>
      </c>
      <c r="O37" t="s">
        <v>6222</v>
      </c>
      <c r="P37" t="s">
        <v>6191</v>
      </c>
    </row>
    <row r="38" spans="1:16" x14ac:dyDescent="0.3">
      <c r="A38" t="s">
        <v>681</v>
      </c>
      <c r="B38" s="8">
        <v>44011</v>
      </c>
      <c r="C38" t="s">
        <v>682</v>
      </c>
      <c r="D38" t="s">
        <v>6161</v>
      </c>
      <c r="E38">
        <v>6</v>
      </c>
      <c r="F38" t="s">
        <v>683</v>
      </c>
      <c r="G38" t="s">
        <v>684</v>
      </c>
      <c r="H38" t="s">
        <v>28</v>
      </c>
      <c r="I38" t="s">
        <v>6195</v>
      </c>
      <c r="J38" t="s">
        <v>6186</v>
      </c>
      <c r="K38">
        <v>0.5</v>
      </c>
      <c r="L38">
        <v>9.51</v>
      </c>
      <c r="M38">
        <v>57.06</v>
      </c>
      <c r="N38" t="s">
        <v>6219</v>
      </c>
      <c r="O38" t="s">
        <v>6225</v>
      </c>
      <c r="P38" t="s">
        <v>6190</v>
      </c>
    </row>
    <row r="39" spans="1:16" x14ac:dyDescent="0.3">
      <c r="A39" t="s">
        <v>3665</v>
      </c>
      <c r="B39" s="8">
        <v>43669</v>
      </c>
      <c r="C39" t="s">
        <v>3666</v>
      </c>
      <c r="D39" t="s">
        <v>6145</v>
      </c>
      <c r="E39">
        <v>6</v>
      </c>
      <c r="F39" t="s">
        <v>3667</v>
      </c>
      <c r="G39" t="s">
        <v>3668</v>
      </c>
      <c r="H39" t="s">
        <v>28</v>
      </c>
      <c r="I39" t="s">
        <v>6195</v>
      </c>
      <c r="J39" t="s">
        <v>6186</v>
      </c>
      <c r="K39">
        <v>0.2</v>
      </c>
      <c r="L39">
        <v>4.7549999999999999</v>
      </c>
      <c r="M39">
        <v>28.53</v>
      </c>
      <c r="N39" t="s">
        <v>6219</v>
      </c>
      <c r="O39" t="s">
        <v>6225</v>
      </c>
      <c r="P39" t="s">
        <v>6191</v>
      </c>
    </row>
    <row r="40" spans="1:16" x14ac:dyDescent="0.3">
      <c r="A40" t="s">
        <v>3622</v>
      </c>
      <c r="B40" s="8">
        <v>43737</v>
      </c>
      <c r="C40" t="s">
        <v>3623</v>
      </c>
      <c r="D40" t="s">
        <v>6142</v>
      </c>
      <c r="E40">
        <v>2</v>
      </c>
      <c r="F40" t="s">
        <v>3624</v>
      </c>
      <c r="G40" t="s">
        <v>6224</v>
      </c>
      <c r="H40" t="s">
        <v>28</v>
      </c>
      <c r="I40" t="s">
        <v>6192</v>
      </c>
      <c r="J40" t="s">
        <v>6186</v>
      </c>
      <c r="K40">
        <v>2.5</v>
      </c>
      <c r="L40">
        <v>27.484999999999996</v>
      </c>
      <c r="M40">
        <v>54.969999999999992</v>
      </c>
      <c r="N40" t="s">
        <v>6220</v>
      </c>
      <c r="O40" t="s">
        <v>6225</v>
      </c>
      <c r="P40" t="s">
        <v>6190</v>
      </c>
    </row>
    <row r="41" spans="1:16" x14ac:dyDescent="0.3">
      <c r="A41" t="s">
        <v>3611</v>
      </c>
      <c r="B41" s="8">
        <v>43761</v>
      </c>
      <c r="C41" t="s">
        <v>3612</v>
      </c>
      <c r="D41" t="s">
        <v>6184</v>
      </c>
      <c r="E41">
        <v>4</v>
      </c>
      <c r="F41" t="s">
        <v>3613</v>
      </c>
      <c r="G41" t="s">
        <v>3614</v>
      </c>
      <c r="H41" t="s">
        <v>28</v>
      </c>
      <c r="I41" t="s">
        <v>6194</v>
      </c>
      <c r="J41" t="s">
        <v>6186</v>
      </c>
      <c r="K41">
        <v>0.2</v>
      </c>
      <c r="L41">
        <v>4.4550000000000001</v>
      </c>
      <c r="M41">
        <v>17.82</v>
      </c>
      <c r="N41" t="s">
        <v>6218</v>
      </c>
      <c r="O41" t="s">
        <v>6225</v>
      </c>
      <c r="P41" t="s">
        <v>6190</v>
      </c>
    </row>
    <row r="42" spans="1:16" x14ac:dyDescent="0.3">
      <c r="A42" t="s">
        <v>3571</v>
      </c>
      <c r="B42" s="8">
        <v>44120</v>
      </c>
      <c r="C42" t="s">
        <v>3572</v>
      </c>
      <c r="D42" t="s">
        <v>6150</v>
      </c>
      <c r="E42">
        <v>4</v>
      </c>
      <c r="F42" t="s">
        <v>3573</v>
      </c>
      <c r="G42" t="s">
        <v>3574</v>
      </c>
      <c r="H42" t="s">
        <v>28</v>
      </c>
      <c r="I42" t="s">
        <v>6195</v>
      </c>
      <c r="J42" t="s">
        <v>6187</v>
      </c>
      <c r="K42">
        <v>0.2</v>
      </c>
      <c r="L42">
        <v>3.8849999999999998</v>
      </c>
      <c r="M42">
        <v>15.54</v>
      </c>
      <c r="N42" t="s">
        <v>6219</v>
      </c>
      <c r="O42" t="s">
        <v>6223</v>
      </c>
      <c r="P42" t="s">
        <v>6191</v>
      </c>
    </row>
    <row r="43" spans="1:16" x14ac:dyDescent="0.3">
      <c r="A43" t="s">
        <v>3469</v>
      </c>
      <c r="B43" s="8">
        <v>43517</v>
      </c>
      <c r="C43" t="s">
        <v>3470</v>
      </c>
      <c r="D43" t="s">
        <v>6139</v>
      </c>
      <c r="E43">
        <v>5</v>
      </c>
      <c r="F43" t="s">
        <v>3471</v>
      </c>
      <c r="G43" t="s">
        <v>3472</v>
      </c>
      <c r="H43" t="s">
        <v>28</v>
      </c>
      <c r="I43" t="s">
        <v>6194</v>
      </c>
      <c r="J43" t="s">
        <v>6188</v>
      </c>
      <c r="K43">
        <v>0.5</v>
      </c>
      <c r="L43">
        <v>8.25</v>
      </c>
      <c r="M43">
        <v>41.25</v>
      </c>
      <c r="N43" t="s">
        <v>6218</v>
      </c>
      <c r="O43" t="s">
        <v>6222</v>
      </c>
      <c r="P43" t="s">
        <v>6191</v>
      </c>
    </row>
    <row r="44" spans="1:16" x14ac:dyDescent="0.3">
      <c r="A44" t="s">
        <v>3323</v>
      </c>
      <c r="B44" s="8">
        <v>43467</v>
      </c>
      <c r="C44" t="s">
        <v>3324</v>
      </c>
      <c r="D44" t="s">
        <v>6145</v>
      </c>
      <c r="E44">
        <v>3</v>
      </c>
      <c r="F44" t="s">
        <v>3325</v>
      </c>
      <c r="G44" t="s">
        <v>3326</v>
      </c>
      <c r="H44" t="s">
        <v>28</v>
      </c>
      <c r="I44" t="s">
        <v>6195</v>
      </c>
      <c r="J44" t="s">
        <v>6186</v>
      </c>
      <c r="K44">
        <v>0.2</v>
      </c>
      <c r="L44">
        <v>4.7549999999999999</v>
      </c>
      <c r="M44">
        <v>14.265000000000001</v>
      </c>
      <c r="N44" t="s">
        <v>6219</v>
      </c>
      <c r="O44" t="s">
        <v>6225</v>
      </c>
      <c r="P44" t="s">
        <v>6191</v>
      </c>
    </row>
    <row r="45" spans="1:16" x14ac:dyDescent="0.3">
      <c r="A45" t="s">
        <v>3323</v>
      </c>
      <c r="B45" s="8">
        <v>43467</v>
      </c>
      <c r="C45" t="s">
        <v>3324</v>
      </c>
      <c r="D45" t="s">
        <v>6143</v>
      </c>
      <c r="E45">
        <v>4</v>
      </c>
      <c r="F45" t="s">
        <v>3325</v>
      </c>
      <c r="G45" t="s">
        <v>3326</v>
      </c>
      <c r="H45" t="s">
        <v>28</v>
      </c>
      <c r="I45" t="s">
        <v>6195</v>
      </c>
      <c r="J45" t="s">
        <v>6187</v>
      </c>
      <c r="K45">
        <v>1</v>
      </c>
      <c r="L45">
        <v>12.95</v>
      </c>
      <c r="M45">
        <v>51.8</v>
      </c>
      <c r="N45" t="s">
        <v>6219</v>
      </c>
      <c r="O45" t="s">
        <v>6223</v>
      </c>
      <c r="P45" t="s">
        <v>6191</v>
      </c>
    </row>
    <row r="46" spans="1:16" x14ac:dyDescent="0.3">
      <c r="A46" t="s">
        <v>3323</v>
      </c>
      <c r="B46" s="8">
        <v>43467</v>
      </c>
      <c r="C46" t="s">
        <v>3324</v>
      </c>
      <c r="D46" t="s">
        <v>6156</v>
      </c>
      <c r="E46">
        <v>4</v>
      </c>
      <c r="F46" t="s">
        <v>3325</v>
      </c>
      <c r="G46" t="s">
        <v>3326</v>
      </c>
      <c r="H46" t="s">
        <v>28</v>
      </c>
      <c r="I46" t="s">
        <v>6194</v>
      </c>
      <c r="J46" t="s">
        <v>6188</v>
      </c>
      <c r="K46">
        <v>0.2</v>
      </c>
      <c r="L46">
        <v>4.125</v>
      </c>
      <c r="M46">
        <v>16.5</v>
      </c>
      <c r="N46" t="s">
        <v>6218</v>
      </c>
      <c r="O46" t="s">
        <v>6222</v>
      </c>
      <c r="P46" t="s">
        <v>6191</v>
      </c>
    </row>
    <row r="47" spans="1:16" x14ac:dyDescent="0.3">
      <c r="A47" t="s">
        <v>3323</v>
      </c>
      <c r="B47" s="8">
        <v>43467</v>
      </c>
      <c r="C47" t="s">
        <v>3324</v>
      </c>
      <c r="D47" t="s">
        <v>6174</v>
      </c>
      <c r="E47">
        <v>4</v>
      </c>
      <c r="F47" t="s">
        <v>3325</v>
      </c>
      <c r="G47" t="s">
        <v>3326</v>
      </c>
      <c r="H47" t="s">
        <v>28</v>
      </c>
      <c r="I47" t="s">
        <v>6192</v>
      </c>
      <c r="J47" t="s">
        <v>6188</v>
      </c>
      <c r="K47">
        <v>0.2</v>
      </c>
      <c r="L47">
        <v>2.9849999999999999</v>
      </c>
      <c r="M47">
        <v>11.94</v>
      </c>
      <c r="N47" t="s">
        <v>6220</v>
      </c>
      <c r="O47" t="s">
        <v>6222</v>
      </c>
      <c r="P47" t="s">
        <v>6191</v>
      </c>
    </row>
    <row r="48" spans="1:16" x14ac:dyDescent="0.3">
      <c r="A48" t="s">
        <v>3277</v>
      </c>
      <c r="B48" s="8">
        <v>44090</v>
      </c>
      <c r="C48" t="s">
        <v>3278</v>
      </c>
      <c r="D48" t="s">
        <v>6146</v>
      </c>
      <c r="E48">
        <v>6</v>
      </c>
      <c r="F48" t="s">
        <v>3279</v>
      </c>
      <c r="G48" t="s">
        <v>3280</v>
      </c>
      <c r="H48" t="s">
        <v>28</v>
      </c>
      <c r="I48" t="s">
        <v>6192</v>
      </c>
      <c r="J48" t="s">
        <v>6188</v>
      </c>
      <c r="K48">
        <v>0.5</v>
      </c>
      <c r="L48">
        <v>5.97</v>
      </c>
      <c r="M48">
        <v>35.82</v>
      </c>
      <c r="N48" t="s">
        <v>6220</v>
      </c>
      <c r="O48" t="s">
        <v>6222</v>
      </c>
      <c r="P48" t="s">
        <v>6191</v>
      </c>
    </row>
    <row r="49" spans="1:16" x14ac:dyDescent="0.3">
      <c r="A49" t="s">
        <v>3208</v>
      </c>
      <c r="B49" s="8">
        <v>43747</v>
      </c>
      <c r="C49" t="s">
        <v>3209</v>
      </c>
      <c r="D49" t="s">
        <v>6179</v>
      </c>
      <c r="E49">
        <v>2</v>
      </c>
      <c r="F49" t="s">
        <v>3210</v>
      </c>
      <c r="G49" t="s">
        <v>3211</v>
      </c>
      <c r="H49" t="s">
        <v>28</v>
      </c>
      <c r="I49" t="s">
        <v>6192</v>
      </c>
      <c r="J49" t="s">
        <v>6186</v>
      </c>
      <c r="K49">
        <v>1</v>
      </c>
      <c r="L49">
        <v>11.95</v>
      </c>
      <c r="M49">
        <v>23.9</v>
      </c>
      <c r="N49" t="s">
        <v>6220</v>
      </c>
      <c r="O49" t="s">
        <v>6225</v>
      </c>
      <c r="P49" t="s">
        <v>6191</v>
      </c>
    </row>
    <row r="50" spans="1:16" x14ac:dyDescent="0.3">
      <c r="A50" t="s">
        <v>3112</v>
      </c>
      <c r="B50" s="8">
        <v>43989</v>
      </c>
      <c r="C50" t="s">
        <v>3113</v>
      </c>
      <c r="D50" t="s">
        <v>6165</v>
      </c>
      <c r="E50">
        <v>4</v>
      </c>
      <c r="F50" t="s">
        <v>3114</v>
      </c>
      <c r="G50" t="s">
        <v>3115</v>
      </c>
      <c r="H50" t="s">
        <v>28</v>
      </c>
      <c r="I50" t="s">
        <v>6195</v>
      </c>
      <c r="J50" t="s">
        <v>6187</v>
      </c>
      <c r="K50">
        <v>2.5</v>
      </c>
      <c r="L50">
        <v>29.784999999999997</v>
      </c>
      <c r="M50">
        <v>119.13999999999999</v>
      </c>
      <c r="N50" t="s">
        <v>6219</v>
      </c>
      <c r="O50" t="s">
        <v>6223</v>
      </c>
      <c r="P50" t="s">
        <v>6191</v>
      </c>
    </row>
    <row r="51" spans="1:16" x14ac:dyDescent="0.3">
      <c r="A51" t="s">
        <v>3094</v>
      </c>
      <c r="B51" s="8">
        <v>44036</v>
      </c>
      <c r="C51" t="s">
        <v>3095</v>
      </c>
      <c r="D51" t="s">
        <v>6163</v>
      </c>
      <c r="E51">
        <v>4</v>
      </c>
      <c r="F51" t="s">
        <v>3096</v>
      </c>
      <c r="G51" t="s">
        <v>3097</v>
      </c>
      <c r="H51" t="s">
        <v>28</v>
      </c>
      <c r="I51" t="s">
        <v>6192</v>
      </c>
      <c r="J51" t="s">
        <v>6187</v>
      </c>
      <c r="K51">
        <v>0.2</v>
      </c>
      <c r="L51">
        <v>2.6849999999999996</v>
      </c>
      <c r="M51">
        <v>10.739999999999998</v>
      </c>
      <c r="N51" t="s">
        <v>6220</v>
      </c>
      <c r="O51" t="s">
        <v>6223</v>
      </c>
      <c r="P51" t="s">
        <v>6190</v>
      </c>
    </row>
    <row r="52" spans="1:16" x14ac:dyDescent="0.3">
      <c r="A52" t="s">
        <v>3064</v>
      </c>
      <c r="B52" s="8">
        <v>44017</v>
      </c>
      <c r="C52" t="s">
        <v>3065</v>
      </c>
      <c r="D52" t="s">
        <v>6149</v>
      </c>
      <c r="E52">
        <v>2</v>
      </c>
      <c r="F52" t="s">
        <v>3066</v>
      </c>
      <c r="G52" t="s">
        <v>3067</v>
      </c>
      <c r="H52" t="s">
        <v>28</v>
      </c>
      <c r="I52" t="s">
        <v>6192</v>
      </c>
      <c r="J52" t="s">
        <v>6187</v>
      </c>
      <c r="K52">
        <v>2.5</v>
      </c>
      <c r="L52">
        <v>20.584999999999997</v>
      </c>
      <c r="M52">
        <v>41.169999999999995</v>
      </c>
      <c r="N52" t="s">
        <v>6220</v>
      </c>
      <c r="O52" t="s">
        <v>6223</v>
      </c>
      <c r="P52" t="s">
        <v>6191</v>
      </c>
    </row>
    <row r="53" spans="1:16" x14ac:dyDescent="0.3">
      <c r="A53" t="s">
        <v>3004</v>
      </c>
      <c r="B53" s="8">
        <v>43816</v>
      </c>
      <c r="C53" t="s">
        <v>3005</v>
      </c>
      <c r="D53" t="s">
        <v>6160</v>
      </c>
      <c r="E53">
        <v>1</v>
      </c>
      <c r="F53" t="s">
        <v>3006</v>
      </c>
      <c r="G53" t="s">
        <v>3007</v>
      </c>
      <c r="H53" t="s">
        <v>28</v>
      </c>
      <c r="I53" t="s">
        <v>6195</v>
      </c>
      <c r="J53" t="s">
        <v>6188</v>
      </c>
      <c r="K53">
        <v>0.5</v>
      </c>
      <c r="L53">
        <v>8.73</v>
      </c>
      <c r="M53">
        <v>8.73</v>
      </c>
      <c r="N53" t="s">
        <v>6219</v>
      </c>
      <c r="O53" t="s">
        <v>6222</v>
      </c>
      <c r="P53" t="s">
        <v>6190</v>
      </c>
    </row>
    <row r="54" spans="1:16" x14ac:dyDescent="0.3">
      <c r="A54" t="s">
        <v>2739</v>
      </c>
      <c r="B54" s="8">
        <v>43539</v>
      </c>
      <c r="C54" t="s">
        <v>2740</v>
      </c>
      <c r="D54" t="s">
        <v>6185</v>
      </c>
      <c r="E54">
        <v>6</v>
      </c>
      <c r="F54" t="s">
        <v>2741</v>
      </c>
      <c r="G54" t="s">
        <v>2742</v>
      </c>
      <c r="H54" t="s">
        <v>28</v>
      </c>
      <c r="I54" t="s">
        <v>6194</v>
      </c>
      <c r="J54" t="s">
        <v>6187</v>
      </c>
      <c r="K54">
        <v>2.5</v>
      </c>
      <c r="L54">
        <v>27.945</v>
      </c>
      <c r="M54">
        <v>167.67000000000002</v>
      </c>
      <c r="N54" t="s">
        <v>6218</v>
      </c>
      <c r="O54" t="s">
        <v>6223</v>
      </c>
      <c r="P54" t="s">
        <v>6191</v>
      </c>
    </row>
    <row r="55" spans="1:16" x14ac:dyDescent="0.3">
      <c r="A55" t="s">
        <v>2627</v>
      </c>
      <c r="B55" s="8">
        <v>43690</v>
      </c>
      <c r="C55" t="s">
        <v>2628</v>
      </c>
      <c r="D55" t="s">
        <v>6173</v>
      </c>
      <c r="E55">
        <v>6</v>
      </c>
      <c r="F55" t="s">
        <v>2629</v>
      </c>
      <c r="G55" t="s">
        <v>2630</v>
      </c>
      <c r="H55" t="s">
        <v>28</v>
      </c>
      <c r="I55" t="s">
        <v>6192</v>
      </c>
      <c r="J55" t="s">
        <v>6186</v>
      </c>
      <c r="K55">
        <v>0.5</v>
      </c>
      <c r="L55">
        <v>7.169999999999999</v>
      </c>
      <c r="M55">
        <v>43.019999999999996</v>
      </c>
      <c r="N55" t="s">
        <v>6220</v>
      </c>
      <c r="O55" t="s">
        <v>6225</v>
      </c>
      <c r="P55" t="s">
        <v>6190</v>
      </c>
    </row>
    <row r="56" spans="1:16" x14ac:dyDescent="0.3">
      <c r="A56" t="s">
        <v>784</v>
      </c>
      <c r="B56" s="8">
        <v>43719</v>
      </c>
      <c r="C56" t="s">
        <v>785</v>
      </c>
      <c r="D56" t="s">
        <v>6146</v>
      </c>
      <c r="E56">
        <v>5</v>
      </c>
      <c r="F56" t="s">
        <v>786</v>
      </c>
      <c r="G56" t="s">
        <v>787</v>
      </c>
      <c r="H56" t="s">
        <v>28</v>
      </c>
      <c r="I56" t="s">
        <v>6192</v>
      </c>
      <c r="J56" t="s">
        <v>6188</v>
      </c>
      <c r="K56">
        <v>0.5</v>
      </c>
      <c r="L56">
        <v>5.97</v>
      </c>
      <c r="M56">
        <v>29.849999999999998</v>
      </c>
      <c r="N56" t="s">
        <v>6220</v>
      </c>
      <c r="O56" t="s">
        <v>6222</v>
      </c>
      <c r="P56" t="s">
        <v>6191</v>
      </c>
    </row>
    <row r="57" spans="1:16" x14ac:dyDescent="0.3">
      <c r="A57" t="s">
        <v>784</v>
      </c>
      <c r="B57" s="8">
        <v>43719</v>
      </c>
      <c r="C57" t="s">
        <v>785</v>
      </c>
      <c r="D57" t="s">
        <v>6164</v>
      </c>
      <c r="E57">
        <v>2</v>
      </c>
      <c r="F57" t="s">
        <v>786</v>
      </c>
      <c r="G57" t="s">
        <v>787</v>
      </c>
      <c r="H57" t="s">
        <v>28</v>
      </c>
      <c r="I57" t="s">
        <v>6195</v>
      </c>
      <c r="J57" t="s">
        <v>6186</v>
      </c>
      <c r="K57">
        <v>2.5</v>
      </c>
      <c r="L57">
        <v>36.454999999999998</v>
      </c>
      <c r="M57">
        <v>72.91</v>
      </c>
      <c r="N57" t="s">
        <v>6219</v>
      </c>
      <c r="O57" t="s">
        <v>6225</v>
      </c>
      <c r="P57" t="s">
        <v>6191</v>
      </c>
    </row>
    <row r="58" spans="1:16" x14ac:dyDescent="0.3">
      <c r="A58" t="s">
        <v>2515</v>
      </c>
      <c r="B58" s="8">
        <v>43563</v>
      </c>
      <c r="C58" t="s">
        <v>2516</v>
      </c>
      <c r="D58" t="s">
        <v>6178</v>
      </c>
      <c r="E58">
        <v>6</v>
      </c>
      <c r="F58" t="s">
        <v>2517</v>
      </c>
      <c r="G58" t="s">
        <v>2518</v>
      </c>
      <c r="H58" t="s">
        <v>28</v>
      </c>
      <c r="I58" t="s">
        <v>6192</v>
      </c>
      <c r="J58" t="s">
        <v>6186</v>
      </c>
      <c r="K58">
        <v>0.2</v>
      </c>
      <c r="L58">
        <v>3.5849999999999995</v>
      </c>
      <c r="M58">
        <v>21.509999999999998</v>
      </c>
      <c r="N58" t="s">
        <v>6220</v>
      </c>
      <c r="O58" t="s">
        <v>6225</v>
      </c>
      <c r="P58" t="s">
        <v>6191</v>
      </c>
    </row>
    <row r="59" spans="1:16" x14ac:dyDescent="0.3">
      <c r="A59" t="s">
        <v>2385</v>
      </c>
      <c r="B59" s="8">
        <v>44434</v>
      </c>
      <c r="C59" t="s">
        <v>2386</v>
      </c>
      <c r="D59" t="s">
        <v>6155</v>
      </c>
      <c r="E59">
        <v>4</v>
      </c>
      <c r="F59" t="s">
        <v>2387</v>
      </c>
      <c r="G59" t="s">
        <v>2388</v>
      </c>
      <c r="H59" t="s">
        <v>28</v>
      </c>
      <c r="I59" t="s">
        <v>6193</v>
      </c>
      <c r="J59" t="s">
        <v>6188</v>
      </c>
      <c r="K59">
        <v>1</v>
      </c>
      <c r="L59">
        <v>11.25</v>
      </c>
      <c r="M59">
        <v>45</v>
      </c>
      <c r="N59" t="s">
        <v>6217</v>
      </c>
      <c r="O59" t="s">
        <v>6222</v>
      </c>
      <c r="P59" t="s">
        <v>6191</v>
      </c>
    </row>
    <row r="60" spans="1:16" x14ac:dyDescent="0.3">
      <c r="A60" t="s">
        <v>2256</v>
      </c>
      <c r="B60" s="8">
        <v>44497</v>
      </c>
      <c r="C60" t="s">
        <v>2257</v>
      </c>
      <c r="D60" t="s">
        <v>6138</v>
      </c>
      <c r="E60">
        <v>3</v>
      </c>
      <c r="F60" t="s">
        <v>2258</v>
      </c>
      <c r="G60" t="s">
        <v>2259</v>
      </c>
      <c r="H60" t="s">
        <v>28</v>
      </c>
      <c r="I60" t="s">
        <v>6192</v>
      </c>
      <c r="J60" t="s">
        <v>6188</v>
      </c>
      <c r="K60">
        <v>1</v>
      </c>
      <c r="L60">
        <v>9.9499999999999993</v>
      </c>
      <c r="M60">
        <v>29.849999999999998</v>
      </c>
      <c r="N60" t="s">
        <v>6220</v>
      </c>
      <c r="O60" t="s">
        <v>6222</v>
      </c>
      <c r="P60" t="s">
        <v>6190</v>
      </c>
    </row>
    <row r="61" spans="1:16" x14ac:dyDescent="0.3">
      <c r="A61" t="s">
        <v>2227</v>
      </c>
      <c r="B61" s="8">
        <v>44729</v>
      </c>
      <c r="C61" t="s">
        <v>2228</v>
      </c>
      <c r="D61" t="s">
        <v>6155</v>
      </c>
      <c r="E61">
        <v>3</v>
      </c>
      <c r="F61" t="s">
        <v>2229</v>
      </c>
      <c r="G61" t="s">
        <v>2230</v>
      </c>
      <c r="H61" t="s">
        <v>28</v>
      </c>
      <c r="I61" t="s">
        <v>6193</v>
      </c>
      <c r="J61" t="s">
        <v>6188</v>
      </c>
      <c r="K61">
        <v>1</v>
      </c>
      <c r="L61">
        <v>11.25</v>
      </c>
      <c r="M61">
        <v>33.75</v>
      </c>
      <c r="N61" t="s">
        <v>6217</v>
      </c>
      <c r="O61" t="s">
        <v>6222</v>
      </c>
      <c r="P61" t="s">
        <v>6191</v>
      </c>
    </row>
    <row r="62" spans="1:16" x14ac:dyDescent="0.3">
      <c r="A62" t="s">
        <v>2209</v>
      </c>
      <c r="B62" s="8">
        <v>43796</v>
      </c>
      <c r="C62" t="s">
        <v>2210</v>
      </c>
      <c r="D62" t="s">
        <v>6159</v>
      </c>
      <c r="E62">
        <v>5</v>
      </c>
      <c r="F62" t="s">
        <v>2211</v>
      </c>
      <c r="G62" t="s">
        <v>2212</v>
      </c>
      <c r="H62" t="s">
        <v>28</v>
      </c>
      <c r="I62" t="s">
        <v>6195</v>
      </c>
      <c r="J62" t="s">
        <v>6188</v>
      </c>
      <c r="K62">
        <v>0.2</v>
      </c>
      <c r="L62">
        <v>4.3650000000000002</v>
      </c>
      <c r="M62">
        <v>21.825000000000003</v>
      </c>
      <c r="N62" t="s">
        <v>6219</v>
      </c>
      <c r="O62" t="s">
        <v>6222</v>
      </c>
      <c r="P62" t="s">
        <v>6191</v>
      </c>
    </row>
    <row r="63" spans="1:16" x14ac:dyDescent="0.3">
      <c r="A63" t="s">
        <v>2091</v>
      </c>
      <c r="B63" s="8">
        <v>43639</v>
      </c>
      <c r="C63" t="s">
        <v>2092</v>
      </c>
      <c r="D63" t="s">
        <v>6172</v>
      </c>
      <c r="E63">
        <v>1</v>
      </c>
      <c r="F63" t="s">
        <v>2093</v>
      </c>
      <c r="G63" t="s">
        <v>2094</v>
      </c>
      <c r="H63" t="s">
        <v>28</v>
      </c>
      <c r="I63" t="s">
        <v>6192</v>
      </c>
      <c r="J63" t="s">
        <v>6187</v>
      </c>
      <c r="K63">
        <v>0.5</v>
      </c>
      <c r="L63">
        <v>5.3699999999999992</v>
      </c>
      <c r="M63">
        <v>5.3699999999999992</v>
      </c>
      <c r="N63" t="s">
        <v>6220</v>
      </c>
      <c r="O63" t="s">
        <v>6223</v>
      </c>
      <c r="P63" t="s">
        <v>6190</v>
      </c>
    </row>
    <row r="64" spans="1:16" x14ac:dyDescent="0.3">
      <c r="A64" t="s">
        <v>2085</v>
      </c>
      <c r="B64" s="8">
        <v>43520</v>
      </c>
      <c r="C64" t="s">
        <v>2086</v>
      </c>
      <c r="D64" t="s">
        <v>6180</v>
      </c>
      <c r="E64">
        <v>1</v>
      </c>
      <c r="F64" t="s">
        <v>2087</v>
      </c>
      <c r="G64" t="s">
        <v>2088</v>
      </c>
      <c r="H64" t="s">
        <v>28</v>
      </c>
      <c r="I64" t="s">
        <v>6193</v>
      </c>
      <c r="J64" t="s">
        <v>6186</v>
      </c>
      <c r="K64">
        <v>0.5</v>
      </c>
      <c r="L64">
        <v>7.77</v>
      </c>
      <c r="M64">
        <v>7.77</v>
      </c>
      <c r="N64" t="s">
        <v>6217</v>
      </c>
      <c r="O64" t="s">
        <v>6225</v>
      </c>
      <c r="P64" t="s">
        <v>6191</v>
      </c>
    </row>
    <row r="65" spans="1:16" x14ac:dyDescent="0.3">
      <c r="A65" t="s">
        <v>833</v>
      </c>
      <c r="B65" s="8">
        <v>43521</v>
      </c>
      <c r="C65" t="s">
        <v>834</v>
      </c>
      <c r="D65" t="s">
        <v>6172</v>
      </c>
      <c r="E65">
        <v>5</v>
      </c>
      <c r="F65" t="s">
        <v>835</v>
      </c>
      <c r="G65" t="s">
        <v>6224</v>
      </c>
      <c r="H65" t="s">
        <v>28</v>
      </c>
      <c r="I65" t="s">
        <v>6192</v>
      </c>
      <c r="J65" t="s">
        <v>6187</v>
      </c>
      <c r="K65">
        <v>0.5</v>
      </c>
      <c r="L65">
        <v>5.3699999999999992</v>
      </c>
      <c r="M65">
        <v>26.849999999999994</v>
      </c>
      <c r="N65" t="s">
        <v>6220</v>
      </c>
      <c r="O65" t="s">
        <v>6223</v>
      </c>
      <c r="P65" t="s">
        <v>6190</v>
      </c>
    </row>
    <row r="66" spans="1:16" x14ac:dyDescent="0.3">
      <c r="A66" t="s">
        <v>1992</v>
      </c>
      <c r="B66" s="8">
        <v>44283</v>
      </c>
      <c r="C66" t="s">
        <v>1993</v>
      </c>
      <c r="D66" t="s">
        <v>6183</v>
      </c>
      <c r="E66">
        <v>2</v>
      </c>
      <c r="F66" t="s">
        <v>1994</v>
      </c>
      <c r="G66" t="s">
        <v>1995</v>
      </c>
      <c r="H66" t="s">
        <v>28</v>
      </c>
      <c r="I66" t="s">
        <v>6194</v>
      </c>
      <c r="J66" t="s">
        <v>6187</v>
      </c>
      <c r="K66">
        <v>1</v>
      </c>
      <c r="L66">
        <v>12.15</v>
      </c>
      <c r="M66">
        <v>24.3</v>
      </c>
      <c r="N66" t="s">
        <v>6218</v>
      </c>
      <c r="O66" t="s">
        <v>6223</v>
      </c>
      <c r="P66" t="s">
        <v>6191</v>
      </c>
    </row>
    <row r="67" spans="1:16" x14ac:dyDescent="0.3">
      <c r="A67" t="s">
        <v>1952</v>
      </c>
      <c r="B67" s="8">
        <v>44355</v>
      </c>
      <c r="C67" t="s">
        <v>1953</v>
      </c>
      <c r="D67" t="s">
        <v>6174</v>
      </c>
      <c r="E67">
        <v>2</v>
      </c>
      <c r="F67" t="s">
        <v>1954</v>
      </c>
      <c r="G67" t="s">
        <v>1955</v>
      </c>
      <c r="H67" t="s">
        <v>28</v>
      </c>
      <c r="I67" t="s">
        <v>6192</v>
      </c>
      <c r="J67" t="s">
        <v>6188</v>
      </c>
      <c r="K67">
        <v>0.2</v>
      </c>
      <c r="L67">
        <v>2.9849999999999999</v>
      </c>
      <c r="M67">
        <v>5.97</v>
      </c>
      <c r="N67" t="s">
        <v>6220</v>
      </c>
      <c r="O67" t="s">
        <v>6222</v>
      </c>
      <c r="P67" t="s">
        <v>6191</v>
      </c>
    </row>
    <row r="68" spans="1:16" x14ac:dyDescent="0.3">
      <c r="A68" t="s">
        <v>1923</v>
      </c>
      <c r="B68" s="8">
        <v>44482</v>
      </c>
      <c r="C68" t="s">
        <v>1924</v>
      </c>
      <c r="D68" t="s">
        <v>6173</v>
      </c>
      <c r="E68">
        <v>4</v>
      </c>
      <c r="F68" t="s">
        <v>1925</v>
      </c>
      <c r="G68" t="s">
        <v>1926</v>
      </c>
      <c r="H68" t="s">
        <v>28</v>
      </c>
      <c r="I68" t="s">
        <v>6192</v>
      </c>
      <c r="J68" t="s">
        <v>6186</v>
      </c>
      <c r="K68">
        <v>0.5</v>
      </c>
      <c r="L68">
        <v>7.169999999999999</v>
      </c>
      <c r="M68">
        <v>28.679999999999996</v>
      </c>
      <c r="N68" t="s">
        <v>6220</v>
      </c>
      <c r="O68" t="s">
        <v>6225</v>
      </c>
      <c r="P68" t="s">
        <v>6191</v>
      </c>
    </row>
    <row r="69" spans="1:16" x14ac:dyDescent="0.3">
      <c r="A69" t="s">
        <v>1878</v>
      </c>
      <c r="B69" s="8">
        <v>44542</v>
      </c>
      <c r="C69" t="s">
        <v>1879</v>
      </c>
      <c r="D69" t="s">
        <v>6143</v>
      </c>
      <c r="E69">
        <v>3</v>
      </c>
      <c r="F69" t="s">
        <v>1880</v>
      </c>
      <c r="G69" t="s">
        <v>1881</v>
      </c>
      <c r="H69" t="s">
        <v>28</v>
      </c>
      <c r="I69" t="s">
        <v>6195</v>
      </c>
      <c r="J69" t="s">
        <v>6187</v>
      </c>
      <c r="K69">
        <v>1</v>
      </c>
      <c r="L69">
        <v>12.95</v>
      </c>
      <c r="M69">
        <v>38.849999999999994</v>
      </c>
      <c r="N69" t="s">
        <v>6219</v>
      </c>
      <c r="O69" t="s">
        <v>6223</v>
      </c>
      <c r="P69" t="s">
        <v>6191</v>
      </c>
    </row>
    <row r="70" spans="1:16" x14ac:dyDescent="0.3">
      <c r="A70" t="s">
        <v>1800</v>
      </c>
      <c r="B70" s="8">
        <v>44010</v>
      </c>
      <c r="C70" t="s">
        <v>1801</v>
      </c>
      <c r="D70" t="s">
        <v>6145</v>
      </c>
      <c r="E70">
        <v>5</v>
      </c>
      <c r="F70" t="s">
        <v>1802</v>
      </c>
      <c r="G70" t="s">
        <v>1803</v>
      </c>
      <c r="H70" t="s">
        <v>28</v>
      </c>
      <c r="I70" t="s">
        <v>6195</v>
      </c>
      <c r="J70" t="s">
        <v>6186</v>
      </c>
      <c r="K70">
        <v>0.2</v>
      </c>
      <c r="L70">
        <v>4.7549999999999999</v>
      </c>
      <c r="M70">
        <v>23.774999999999999</v>
      </c>
      <c r="N70" t="s">
        <v>6219</v>
      </c>
      <c r="O70" t="s">
        <v>6225</v>
      </c>
      <c r="P70" t="s">
        <v>6191</v>
      </c>
    </row>
    <row r="71" spans="1:16" x14ac:dyDescent="0.3">
      <c r="A71" t="s">
        <v>1771</v>
      </c>
      <c r="B71" s="8">
        <v>43880</v>
      </c>
      <c r="C71" t="s">
        <v>1772</v>
      </c>
      <c r="D71" t="s">
        <v>6163</v>
      </c>
      <c r="E71">
        <v>6</v>
      </c>
      <c r="F71" t="s">
        <v>1773</v>
      </c>
      <c r="G71" t="s">
        <v>1774</v>
      </c>
      <c r="H71" t="s">
        <v>28</v>
      </c>
      <c r="I71" t="s">
        <v>6192</v>
      </c>
      <c r="J71" t="s">
        <v>6187</v>
      </c>
      <c r="K71">
        <v>0.2</v>
      </c>
      <c r="L71">
        <v>2.6849999999999996</v>
      </c>
      <c r="M71">
        <v>16.11</v>
      </c>
      <c r="N71" t="s">
        <v>6220</v>
      </c>
      <c r="O71" t="s">
        <v>6223</v>
      </c>
      <c r="P71" t="s">
        <v>6190</v>
      </c>
    </row>
    <row r="72" spans="1:16" x14ac:dyDescent="0.3">
      <c r="A72" t="s">
        <v>1665</v>
      </c>
      <c r="B72" s="8">
        <v>44105</v>
      </c>
      <c r="C72" t="s">
        <v>1666</v>
      </c>
      <c r="D72" t="s">
        <v>6157</v>
      </c>
      <c r="E72">
        <v>1</v>
      </c>
      <c r="F72" t="s">
        <v>1667</v>
      </c>
      <c r="G72" t="s">
        <v>1668</v>
      </c>
      <c r="H72" t="s">
        <v>28</v>
      </c>
      <c r="I72" t="s">
        <v>6193</v>
      </c>
      <c r="J72" t="s">
        <v>6188</v>
      </c>
      <c r="K72">
        <v>0.5</v>
      </c>
      <c r="L72">
        <v>6.75</v>
      </c>
      <c r="M72">
        <v>6.75</v>
      </c>
      <c r="N72" t="s">
        <v>6217</v>
      </c>
      <c r="O72" t="s">
        <v>6222</v>
      </c>
      <c r="P72" t="s">
        <v>6191</v>
      </c>
    </row>
    <row r="73" spans="1:16" x14ac:dyDescent="0.3">
      <c r="A73" t="s">
        <v>878</v>
      </c>
      <c r="B73" s="8">
        <v>43795</v>
      </c>
      <c r="C73" t="s">
        <v>879</v>
      </c>
      <c r="D73" t="s">
        <v>6138</v>
      </c>
      <c r="E73">
        <v>6</v>
      </c>
      <c r="F73" t="s">
        <v>880</v>
      </c>
      <c r="G73" t="s">
        <v>881</v>
      </c>
      <c r="H73" t="s">
        <v>28</v>
      </c>
      <c r="I73" t="s">
        <v>6192</v>
      </c>
      <c r="J73" t="s">
        <v>6188</v>
      </c>
      <c r="K73">
        <v>1</v>
      </c>
      <c r="L73">
        <v>9.9499999999999993</v>
      </c>
      <c r="M73">
        <v>59.699999999999996</v>
      </c>
      <c r="N73" t="s">
        <v>6220</v>
      </c>
      <c r="O73" t="s">
        <v>6222</v>
      </c>
      <c r="P73" t="s">
        <v>6190</v>
      </c>
    </row>
    <row r="74" spans="1:16" x14ac:dyDescent="0.3">
      <c r="A74" t="s">
        <v>1448</v>
      </c>
      <c r="B74" s="8">
        <v>44476</v>
      </c>
      <c r="C74" t="s">
        <v>1449</v>
      </c>
      <c r="D74" t="s">
        <v>6148</v>
      </c>
      <c r="E74">
        <v>2</v>
      </c>
      <c r="F74" t="s">
        <v>1450</v>
      </c>
      <c r="G74" t="s">
        <v>1451</v>
      </c>
      <c r="H74" t="s">
        <v>28</v>
      </c>
      <c r="I74" t="s">
        <v>6194</v>
      </c>
      <c r="J74" t="s">
        <v>6186</v>
      </c>
      <c r="K74">
        <v>2.5</v>
      </c>
      <c r="L74">
        <v>34.154999999999994</v>
      </c>
      <c r="M74">
        <v>68.309999999999988</v>
      </c>
      <c r="N74" t="s">
        <v>6218</v>
      </c>
      <c r="O74" t="s">
        <v>6225</v>
      </c>
      <c r="P74" t="s">
        <v>6191</v>
      </c>
    </row>
    <row r="75" spans="1:16" x14ac:dyDescent="0.3">
      <c r="A75" t="s">
        <v>1134</v>
      </c>
      <c r="B75" s="8">
        <v>43693</v>
      </c>
      <c r="C75" t="s">
        <v>1135</v>
      </c>
      <c r="D75" t="s">
        <v>6170</v>
      </c>
      <c r="E75">
        <v>1</v>
      </c>
      <c r="F75" t="s">
        <v>1136</v>
      </c>
      <c r="G75" t="s">
        <v>1137</v>
      </c>
      <c r="H75" t="s">
        <v>28</v>
      </c>
      <c r="I75" t="s">
        <v>6195</v>
      </c>
      <c r="J75" t="s">
        <v>6186</v>
      </c>
      <c r="K75">
        <v>1</v>
      </c>
      <c r="L75">
        <v>15.85</v>
      </c>
      <c r="M75">
        <v>15.85</v>
      </c>
      <c r="N75" t="s">
        <v>6219</v>
      </c>
      <c r="O75" t="s">
        <v>6225</v>
      </c>
      <c r="P75" t="s">
        <v>6191</v>
      </c>
    </row>
    <row r="76" spans="1:16" x14ac:dyDescent="0.3">
      <c r="A76" t="s">
        <v>1012</v>
      </c>
      <c r="B76" s="8">
        <v>43538</v>
      </c>
      <c r="C76" t="s">
        <v>1013</v>
      </c>
      <c r="D76" t="s">
        <v>6176</v>
      </c>
      <c r="E76">
        <v>4</v>
      </c>
      <c r="F76" t="s">
        <v>1014</v>
      </c>
      <c r="G76" t="s">
        <v>1015</v>
      </c>
      <c r="H76" t="s">
        <v>28</v>
      </c>
      <c r="I76" t="s">
        <v>6194</v>
      </c>
      <c r="J76" t="s">
        <v>6186</v>
      </c>
      <c r="K76">
        <v>0.5</v>
      </c>
      <c r="L76">
        <v>8.91</v>
      </c>
      <c r="M76">
        <v>35.64</v>
      </c>
      <c r="N76" t="s">
        <v>6218</v>
      </c>
      <c r="O76" t="s">
        <v>6225</v>
      </c>
      <c r="P76" t="s">
        <v>6190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Normal="100" workbookViewId="0">
      <selection activeCell="P2" sqref="P2"/>
    </sheetView>
  </sheetViews>
  <sheetFormatPr defaultRowHeight="14.4" x14ac:dyDescent="0.3"/>
  <cols>
    <col min="1" max="1" width="15.21875" bestFit="1" customWidth="1"/>
    <col min="2" max="2" width="12" customWidth="1"/>
    <col min="3" max="3" width="16" bestFit="1" customWidth="1"/>
    <col min="4" max="4" width="11.77734375" customWidth="1"/>
    <col min="5" max="5" width="10.21875" customWidth="1"/>
    <col min="6" max="6" width="21.77734375" bestFit="1" customWidth="1"/>
    <col min="7" max="7" width="35.5546875" bestFit="1" customWidth="1"/>
    <col min="8" max="8" width="14" bestFit="1" customWidth="1"/>
    <col min="9" max="9" width="13" customWidth="1"/>
    <col min="10" max="10" width="12.109375" customWidth="1"/>
    <col min="11" max="11" width="6.109375" customWidth="1"/>
    <col min="12" max="12" width="11" customWidth="1"/>
    <col min="13" max="13" width="8.6640625" bestFit="1" customWidth="1"/>
    <col min="14" max="14" width="18.44140625" customWidth="1"/>
    <col min="15" max="15" width="17.5546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_xlfn.XLOOKUP(C2,customers!$A$1:$A$1001,customers!$C$1:$C$1001,,0)</f>
        <v>aallner0@lulu.com</v>
      </c>
      <c r="H2" s="2" t="str">
        <f>_xlfn.XLOOKUP(C2,customers!$A$1:$A$1001,customers!$G$1:$G$1001,,0)</f>
        <v>United States</v>
      </c>
      <c r="I2" t="str">
        <f>INDEX(products!$A$1:$G$49, MATCH(orders!$D2,products!$A$1:$A$49,0), MATCH(I$1,products!$A$1:$G$1,0))</f>
        <v>Rob</v>
      </c>
      <c r="J2" t="str">
        <f>INDEX(products!$A1:$G49, MATCH(orders!$D2,products!$A$1:$A$49,0), MATCH(J1,products!$A$1:$G$1,0))</f>
        <v>M</v>
      </c>
      <c r="K2" s="4">
        <f>INDEX(products!$A1:$G49, MATCH(orders!$D2,products!$A$1:$A$49,0), MATCH(K1,products!$A$1:$G$1,0))</f>
        <v>1</v>
      </c>
      <c r="L2" s="5">
        <f>INDEX(products!$A1:$G49, MATCH(orders!$D2,products!$A$1:$A$49,0), MATCH(L1,products!$A$1:$G$1,0))</f>
        <v>9.9499999999999993</v>
      </c>
      <c r="M2" s="5">
        <f>L2*E2</f>
        <v>19.899999999999999</v>
      </c>
      <c r="N2" t="str">
        <f>IF(I2="Rob", "Robusta", IF(I2 = "Exc", "Excelsa", IF(I2 = "Ara", "Arabica", IF(I2 = "Lib", "Liberica", ""))))</f>
        <v>Robusta</v>
      </c>
      <c r="O2" t="str">
        <f>IF(J2 = "M", "Medium", IF(J2 = "L", "Light", IF( J2 = "D", "Dark", "")))</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_xlfn.XLOOKUP(C3,customers!$A$1:$A$1001,customers!$C$1:$C$1001,,0)</f>
        <v>aallner0@lulu.com</v>
      </c>
      <c r="H3" s="2" t="str">
        <f>_xlfn.XLOOKUP(C3,customers!$A$1:$A$1001,customers!$G$1:$G$1001,,0)</f>
        <v>United States</v>
      </c>
      <c r="I3" t="str">
        <f>INDEX(products!$A$1:$G$49, MATCH(orders!$D3,products!$A$1:$A$49,0), MATCH(I$1,products!$A$1:$G$1,0))</f>
        <v>Exc</v>
      </c>
      <c r="J3" t="str">
        <f>INDEX(products!$A$1:$G$49, MATCH(orders!$D3,products!$A$1:$A$49,0), MATCH(J$1,products!$A$1:$G$1,0))</f>
        <v>M</v>
      </c>
      <c r="K3" s="4">
        <f>INDEX(products!$A$1:$G$49, MATCH(orders!$D3,products!$A$1:$A$49,0), MATCH(K$1,products!$A$1:$G$1,0))</f>
        <v>0.5</v>
      </c>
      <c r="L3" s="5">
        <f>INDEX(products!$A$1:$G$49, MATCH(orders!$D3,products!$A$1:$A$49,0), MATCH(L$1,products!$A$1:$G$1,0))</f>
        <v>8.25</v>
      </c>
      <c r="M3" s="5">
        <f t="shared" ref="M3:M66" si="0">L3*E3</f>
        <v>41.25</v>
      </c>
      <c r="N3" t="str">
        <f t="shared" ref="N3:N66" si="1">IF(I3="Rob", "Robusta", IF(I3 = "Exc", "Excelsa", IF(I3 = "Ara", "Arabica", IF(I3 = "Lib", "Liberica", ""))))</f>
        <v>Excelsa</v>
      </c>
      <c r="O3" t="str">
        <f t="shared" ref="O3:O66" si="2">IF(J3 = "M", "Medium", IF(J3 = "L", "Light", IF( J3 = "D", "Dark", "")))</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_xlfn.XLOOKUP(C4,customers!$A$1:$A$1001,customers!$C$1:$C$1001,,0)</f>
        <v>jredholes2@tmall.com</v>
      </c>
      <c r="H4" s="2" t="str">
        <f>_xlfn.XLOOKUP(C4,customers!$A$1:$A$1001,customers!$G$1:$G$1001,,0)</f>
        <v>United States</v>
      </c>
      <c r="I4" t="str">
        <f>INDEX(products!$A$1:$G$49, MATCH(orders!$D4,products!$A$1:$A$49,0), MATCH(I$1,products!$A$1:$G$1,0))</f>
        <v>Ara</v>
      </c>
      <c r="J4" t="str">
        <f>INDEX(products!$A$1:$G$49, MATCH(orders!$D4,products!$A$1:$A$49,0), MATCH(J$1,products!$A$1:$G$1,0))</f>
        <v>L</v>
      </c>
      <c r="K4" s="4">
        <f>INDEX(products!$A$1:$G$49, MATCH(orders!$D4,products!$A$1:$A$49,0), MATCH(K$1,products!$A$1:$G$1,0))</f>
        <v>1</v>
      </c>
      <c r="L4" s="5">
        <f>INDEX(products!$A$1:$G$49, MATCH(orders!$D4,products!$A$1:$A$49,0), MATCH(L$1,products!$A$1:$G$1,0))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 = 0, "", _xlfn.XLOOKUP(C5,customers!$A$1:$A$1001,customers!$C$1:$C$1001,,0))</f>
        <v/>
      </c>
      <c r="H5" s="2" t="str">
        <f>_xlfn.XLOOKUP(C5,customers!$A$1:$A$1001,customers!$G$1:$G$1001,,0)</f>
        <v>Ireland</v>
      </c>
      <c r="I5" t="str">
        <f>INDEX(products!$A$1:$G$49, MATCH(orders!$D5,products!$A$1:$A$49,0), MATCH(I$1,products!$A$1:$G$1,0))</f>
        <v>Exc</v>
      </c>
      <c r="J5" t="str">
        <f>INDEX(products!$A$1:$G$49, MATCH(orders!$D5,products!$A$1:$A$49,0), MATCH(J$1,products!$A$1:$G$1,0))</f>
        <v>M</v>
      </c>
      <c r="K5" s="4">
        <f>INDEX(products!$A$1:$G$49, MATCH(orders!$D5,products!$A$1:$A$49,0), MATCH(K$1,products!$A$1:$G$1,0))</f>
        <v>1</v>
      </c>
      <c r="L5" s="5">
        <f>INDEX(products!$A$1:$G$49, MATCH(orders!$D5,products!$A$1:$A$49,0), MATCH(L$1,products!$A$1:$G$1,0))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 = 0, "", _xlfn.XLOOKUP(C6,customers!$A$1:$A$1001,customers!$C$1:$C$1001,,0))</f>
        <v/>
      </c>
      <c r="H6" s="2" t="str">
        <f>_xlfn.XLOOKUP(C6,customers!$A$1:$A$1001,customers!$G$1:$G$1001,,0)</f>
        <v>Ireland</v>
      </c>
      <c r="I6" t="str">
        <f>INDEX(products!$A$1:$G$49, MATCH(orders!$D6,products!$A$1:$A$49,0), MATCH(I$1,products!$A$1:$G$1,0))</f>
        <v>Rob</v>
      </c>
      <c r="J6" t="str">
        <f>INDEX(products!$A$1:$G$49, MATCH(orders!$D6,products!$A$1:$A$49,0), MATCH(J$1,products!$A$1:$G$1,0))</f>
        <v>L</v>
      </c>
      <c r="K6" s="4">
        <f>INDEX(products!$A$1:$G$49, MATCH(orders!$D6,products!$A$1:$A$49,0), MATCH(K$1,products!$A$1:$G$1,0))</f>
        <v>2.5</v>
      </c>
      <c r="L6" s="5">
        <f>INDEX(products!$A$1:$G$49, MATCH(orders!$D6,products!$A$1:$A$49,0), MATCH(L$1,products!$A$1:$G$1,0))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 = 0, "", _xlfn.XLOOKUP(C7,customers!$A$1:$A$1001,customers!$C$1:$C$1001,,0))</f>
        <v/>
      </c>
      <c r="H7" s="2" t="str">
        <f>_xlfn.XLOOKUP(C7,customers!$A$1:$A$1001,customers!$G$1:$G$1001,,0)</f>
        <v>United States</v>
      </c>
      <c r="I7" t="str">
        <f>INDEX(products!$A$1:$G$49, MATCH(orders!$D7,products!$A$1:$A$49,0), MATCH(I$1,products!$A$1:$G$1,0))</f>
        <v>Lib</v>
      </c>
      <c r="J7" t="str">
        <f>INDEX(products!$A$1:$G$49, MATCH(orders!$D7,products!$A$1:$A$49,0), MATCH(J$1,products!$A$1:$G$1,0))</f>
        <v>D</v>
      </c>
      <c r="K7" s="4">
        <f>INDEX(products!$A$1:$G$49, MATCH(orders!$D7,products!$A$1:$A$49,0), MATCH(K$1,products!$A$1:$G$1,0))</f>
        <v>1</v>
      </c>
      <c r="L7" s="5">
        <f>INDEX(products!$A$1:$G$49, MATCH(orders!$D7,products!$A$1:$A$49,0), MATCH(L$1,products!$A$1:$G$1,0))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 = 0, "", _xlfn.XLOOKUP(C8,customers!$A$1:$A$1001,customers!$C$1:$C$1001,,0))</f>
        <v>slobe6@nifty.com</v>
      </c>
      <c r="H8" s="2" t="str">
        <f>_xlfn.XLOOKUP(C8,customers!$A$1:$A$1001,customers!$G$1:$G$1001,,0)</f>
        <v>United States</v>
      </c>
      <c r="I8" t="str">
        <f>INDEX(products!$A$1:$G$49, MATCH(orders!$D8,products!$A$1:$A$49,0), MATCH(I$1,products!$A$1:$G$1,0))</f>
        <v>Exc</v>
      </c>
      <c r="J8" t="str">
        <f>INDEX(products!$A$1:$G$49, MATCH(orders!$D8,products!$A$1:$A$49,0), MATCH(J$1,products!$A$1:$G$1,0))</f>
        <v>D</v>
      </c>
      <c r="K8" s="4">
        <f>INDEX(products!$A$1:$G$49, MATCH(orders!$D8,products!$A$1:$A$49,0), MATCH(K$1,products!$A$1:$G$1,0))</f>
        <v>0.5</v>
      </c>
      <c r="L8" s="5">
        <f>INDEX(products!$A$1:$G$49, MATCH(orders!$D8,products!$A$1:$A$49,0), MATCH(L$1,products!$A$1:$G$1,0))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 = 0, "", _xlfn.XLOOKUP(C9,customers!$A$1:$A$1001,customers!$C$1:$C$1001,,0))</f>
        <v/>
      </c>
      <c r="H9" s="2" t="str">
        <f>_xlfn.XLOOKUP(C9,customers!$A$1:$A$1001,customers!$G$1:$G$1001,,0)</f>
        <v>Ireland</v>
      </c>
      <c r="I9" t="str">
        <f>INDEX(products!$A$1:$G$49, MATCH(orders!$D9,products!$A$1:$A$49,0), MATCH(I$1,products!$A$1:$G$1,0))</f>
        <v>Lib</v>
      </c>
      <c r="J9" t="str">
        <f>INDEX(products!$A$1:$G$49, MATCH(orders!$D9,products!$A$1:$A$49,0), MATCH(J$1,products!$A$1:$G$1,0))</f>
        <v>L</v>
      </c>
      <c r="K9" s="4">
        <f>INDEX(products!$A$1:$G$49, MATCH(orders!$D9,products!$A$1:$A$49,0), MATCH(K$1,products!$A$1:$G$1,0))</f>
        <v>0.2</v>
      </c>
      <c r="L9" s="5">
        <f>INDEX(products!$A$1:$G$49, MATCH(orders!$D9,products!$A$1:$A$49,0), MATCH(L$1,products!$A$1:$G$1,0))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 = 0, "", _xlfn.XLOOKUP(C10,customers!$A$1:$A$1001,customers!$C$1:$C$1001,,0))</f>
        <v>gpetracci8@livejournal.com</v>
      </c>
      <c r="H10" s="2" t="str">
        <f>_xlfn.XLOOKUP(C10,customers!$A$1:$A$1001,customers!$G$1:$G$1001,,0)</f>
        <v>United States</v>
      </c>
      <c r="I10" t="str">
        <f>INDEX(products!$A$1:$G$49, MATCH(orders!$D10,products!$A$1:$A$49,0), MATCH(I$1,products!$A$1:$G$1,0))</f>
        <v>Rob</v>
      </c>
      <c r="J10" t="str">
        <f>INDEX(products!$A$1:$G$49, MATCH(orders!$D10,products!$A$1:$A$49,0), MATCH(J$1,products!$A$1:$G$1,0))</f>
        <v>M</v>
      </c>
      <c r="K10" s="4">
        <f>INDEX(products!$A$1:$G$49, MATCH(orders!$D10,products!$A$1:$A$49,0), MATCH(K$1,products!$A$1:$G$1,0))</f>
        <v>0.5</v>
      </c>
      <c r="L10" s="5">
        <f>INDEX(products!$A$1:$G$49, MATCH(orders!$D10,products!$A$1:$A$49,0), MATCH(L$1,products!$A$1:$G$1,0))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 = 0, "", _xlfn.XLOOKUP(C11,customers!$A$1:$A$1001,customers!$C$1:$C$1001,,0))</f>
        <v>rraven9@ed.gov</v>
      </c>
      <c r="H11" s="2" t="str">
        <f>_xlfn.XLOOKUP(C11,customers!$A$1:$A$1001,customers!$G$1:$G$1001,,0)</f>
        <v>United States</v>
      </c>
      <c r="I11" t="str">
        <f>INDEX(products!$A$1:$G$49, MATCH(orders!$D11,products!$A$1:$A$49,0), MATCH(I$1,products!$A$1:$G$1,0))</f>
        <v>Rob</v>
      </c>
      <c r="J11" t="str">
        <f>INDEX(products!$A$1:$G$49, MATCH(orders!$D11,products!$A$1:$A$49,0), MATCH(J$1,products!$A$1:$G$1,0))</f>
        <v>M</v>
      </c>
      <c r="K11" s="4">
        <f>INDEX(products!$A$1:$G$49, MATCH(orders!$D11,products!$A$1:$A$49,0), MATCH(K$1,products!$A$1:$G$1,0))</f>
        <v>0.5</v>
      </c>
      <c r="L11" s="5">
        <f>INDEX(products!$A$1:$G$49, MATCH(orders!$D11,products!$A$1:$A$49,0), MATCH(L$1,products!$A$1:$G$1,0))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 = 0, "", _xlfn.XLOOKUP(C12,customers!$A$1:$A$1001,customers!$C$1:$C$1001,,0))</f>
        <v>fferbera@businesswire.com</v>
      </c>
      <c r="H12" s="2" t="str">
        <f>_xlfn.XLOOKUP(C12,customers!$A$1:$A$1001,customers!$G$1:$G$1001,,0)</f>
        <v>United States</v>
      </c>
      <c r="I12" t="str">
        <f>INDEX(products!$A$1:$G$49, MATCH(orders!$D12,products!$A$1:$A$49,0), MATCH(I$1,products!$A$1:$G$1,0))</f>
        <v>Ara</v>
      </c>
      <c r="J12" t="str">
        <f>INDEX(products!$A$1:$G$49, MATCH(orders!$D12,products!$A$1:$A$49,0), MATCH(J$1,products!$A$1:$G$1,0))</f>
        <v>D</v>
      </c>
      <c r="K12" s="4">
        <f>INDEX(products!$A$1:$G$49, MATCH(orders!$D12,products!$A$1:$A$49,0), MATCH(K$1,products!$A$1:$G$1,0))</f>
        <v>1</v>
      </c>
      <c r="L12" s="5">
        <f>INDEX(products!$A$1:$G$49, MATCH(orders!$D12,products!$A$1:$A$49,0), MATCH(L$1,products!$A$1:$G$1,0))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 = 0, "", _xlfn.XLOOKUP(C13,customers!$A$1:$A$1001,customers!$C$1:$C$1001,,0))</f>
        <v>dphizackerlyb@utexas.edu</v>
      </c>
      <c r="H13" s="2" t="str">
        <f>_xlfn.XLOOKUP(C13,customers!$A$1:$A$1001,customers!$G$1:$G$1001,,0)</f>
        <v>United States</v>
      </c>
      <c r="I13" t="str">
        <f>INDEX(products!$A$1:$G$49, MATCH(orders!$D13,products!$A$1:$A$49,0), MATCH(I$1,products!$A$1:$G$1,0))</f>
        <v>Exc</v>
      </c>
      <c r="J13" t="str">
        <f>INDEX(products!$A$1:$G$49, MATCH(orders!$D13,products!$A$1:$A$49,0), MATCH(J$1,products!$A$1:$G$1,0))</f>
        <v>L</v>
      </c>
      <c r="K13" s="4">
        <f>INDEX(products!$A$1:$G$49, MATCH(orders!$D13,products!$A$1:$A$49,0), MATCH(K$1,products!$A$1:$G$1,0))</f>
        <v>2.5</v>
      </c>
      <c r="L13" s="5">
        <f>INDEX(products!$A$1:$G$49, MATCH(orders!$D13,products!$A$1:$A$49,0), MATCH(L$1,products!$A$1:$G$1,0))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 = 0, "", _xlfn.XLOOKUP(C14,customers!$A$1:$A$1001,customers!$C$1:$C$1001,,0))</f>
        <v>rscholarc@nyu.edu</v>
      </c>
      <c r="H14" s="2" t="str">
        <f>_xlfn.XLOOKUP(C14,customers!$A$1:$A$1001,customers!$G$1:$G$1001,,0)</f>
        <v>United States</v>
      </c>
      <c r="I14" t="str">
        <f>INDEX(products!$A$1:$G$49, MATCH(orders!$D14,products!$A$1:$A$49,0), MATCH(I$1,products!$A$1:$G$1,0))</f>
        <v>Rob</v>
      </c>
      <c r="J14" t="str">
        <f>INDEX(products!$A$1:$G$49, MATCH(orders!$D14,products!$A$1:$A$49,0), MATCH(J$1,products!$A$1:$G$1,0))</f>
        <v>M</v>
      </c>
      <c r="K14" s="4">
        <f>INDEX(products!$A$1:$G$49, MATCH(orders!$D14,products!$A$1:$A$49,0), MATCH(K$1,products!$A$1:$G$1,0))</f>
        <v>1</v>
      </c>
      <c r="L14" s="5">
        <f>INDEX(products!$A$1:$G$49, MATCH(orders!$D14,products!$A$1:$A$49,0), MATCH(L$1,products!$A$1:$G$1,0))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 = 0, "", _xlfn.XLOOKUP(C15,customers!$A$1:$A$1001,customers!$C$1:$C$1001,,0))</f>
        <v>tvanyutind@wix.com</v>
      </c>
      <c r="H15" s="2" t="str">
        <f>_xlfn.XLOOKUP(C15,customers!$A$1:$A$1001,customers!$G$1:$G$1001,,0)</f>
        <v>United States</v>
      </c>
      <c r="I15" t="str">
        <f>INDEX(products!$A$1:$G$49, MATCH(orders!$D15,products!$A$1:$A$49,0), MATCH(I$1,products!$A$1:$G$1,0))</f>
        <v>Rob</v>
      </c>
      <c r="J15" t="str">
        <f>INDEX(products!$A$1:$G$49, MATCH(orders!$D15,products!$A$1:$A$49,0), MATCH(J$1,products!$A$1:$G$1,0))</f>
        <v>D</v>
      </c>
      <c r="K15" s="4">
        <f>INDEX(products!$A$1:$G$49, MATCH(orders!$D15,products!$A$1:$A$49,0), MATCH(K$1,products!$A$1:$G$1,0))</f>
        <v>2.5</v>
      </c>
      <c r="L15" s="5">
        <f>INDEX(products!$A$1:$G$49, MATCH(orders!$D15,products!$A$1:$A$49,0), MATCH(L$1,products!$A$1:$G$1,0))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 = 0, "", _xlfn.XLOOKUP(C16,customers!$A$1:$A$1001,customers!$C$1:$C$1001,,0))</f>
        <v>ptrobee@wunderground.com</v>
      </c>
      <c r="H16" s="2" t="str">
        <f>_xlfn.XLOOKUP(C16,customers!$A$1:$A$1001,customers!$G$1:$G$1001,,0)</f>
        <v>United States</v>
      </c>
      <c r="I16" t="str">
        <f>INDEX(products!$A$1:$G$49, MATCH(orders!$D16,products!$A$1:$A$49,0), MATCH(I$1,products!$A$1:$G$1,0))</f>
        <v>Lib</v>
      </c>
      <c r="J16" t="str">
        <f>INDEX(products!$A$1:$G$49, MATCH(orders!$D16,products!$A$1:$A$49,0), MATCH(J$1,products!$A$1:$G$1,0))</f>
        <v>D</v>
      </c>
      <c r="K16" s="4">
        <f>INDEX(products!$A$1:$G$49, MATCH(orders!$D16,products!$A$1:$A$49,0), MATCH(K$1,products!$A$1:$G$1,0))</f>
        <v>0.2</v>
      </c>
      <c r="L16" s="5">
        <f>INDEX(products!$A$1:$G$49, MATCH(orders!$D16,products!$A$1:$A$49,0), MATCH(L$1,products!$A$1:$G$1,0))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 = 0, "", _xlfn.XLOOKUP(C17,customers!$A$1:$A$1001,customers!$C$1:$C$1001,,0))</f>
        <v>loscroftf@ebay.co.uk</v>
      </c>
      <c r="H17" s="2" t="str">
        <f>_xlfn.XLOOKUP(C17,customers!$A$1:$A$1001,customers!$G$1:$G$1001,,0)</f>
        <v>United States</v>
      </c>
      <c r="I17" t="str">
        <f>INDEX(products!$A$1:$G$49, MATCH(orders!$D17,products!$A$1:$A$49,0), MATCH(I$1,products!$A$1:$G$1,0))</f>
        <v>Rob</v>
      </c>
      <c r="J17" t="str">
        <f>INDEX(products!$A$1:$G$49, MATCH(orders!$D17,products!$A$1:$A$49,0), MATCH(J$1,products!$A$1:$G$1,0))</f>
        <v>M</v>
      </c>
      <c r="K17" s="4">
        <f>INDEX(products!$A$1:$G$49, MATCH(orders!$D17,products!$A$1:$A$49,0), MATCH(K$1,products!$A$1:$G$1,0))</f>
        <v>2.5</v>
      </c>
      <c r="L17" s="5">
        <f>INDEX(products!$A$1:$G$49, MATCH(orders!$D17,products!$A$1:$A$49,0), MATCH(L$1,products!$A$1:$G$1,0))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 = 0, "", _xlfn.XLOOKUP(C18,customers!$A$1:$A$1001,customers!$C$1:$C$1001,,0))</f>
        <v>malabasterg@hexun.com</v>
      </c>
      <c r="H18" s="2" t="str">
        <f>_xlfn.XLOOKUP(C18,customers!$A$1:$A$1001,customers!$G$1:$G$1001,,0)</f>
        <v>United States</v>
      </c>
      <c r="I18" t="str">
        <f>INDEX(products!$A$1:$G$49, MATCH(orders!$D18,products!$A$1:$A$49,0), MATCH(I$1,products!$A$1:$G$1,0))</f>
        <v>Ara</v>
      </c>
      <c r="J18" t="str">
        <f>INDEX(products!$A$1:$G$49, MATCH(orders!$D18,products!$A$1:$A$49,0), MATCH(J$1,products!$A$1:$G$1,0))</f>
        <v>M</v>
      </c>
      <c r="K18" s="4">
        <f>INDEX(products!$A$1:$G$49, MATCH(orders!$D18,products!$A$1:$A$49,0), MATCH(K$1,products!$A$1:$G$1,0))</f>
        <v>0.2</v>
      </c>
      <c r="L18" s="5">
        <f>INDEX(products!$A$1:$G$49, MATCH(orders!$D18,products!$A$1:$A$49,0), MATCH(L$1,products!$A$1:$G$1,0))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 = 0, "", _xlfn.XLOOKUP(C19,customers!$A$1:$A$1001,customers!$C$1:$C$1001,,0))</f>
        <v>rbroxuph@jimdo.com</v>
      </c>
      <c r="H19" s="2" t="str">
        <f>_xlfn.XLOOKUP(C19,customers!$A$1:$A$1001,customers!$G$1:$G$1001,,0)</f>
        <v>United States</v>
      </c>
      <c r="I19" t="str">
        <f>INDEX(products!$A$1:$G$49, MATCH(orders!$D19,products!$A$1:$A$49,0), MATCH(I$1,products!$A$1:$G$1,0))</f>
        <v>Ara</v>
      </c>
      <c r="J19" t="str">
        <f>INDEX(products!$A$1:$G$49, MATCH(orders!$D19,products!$A$1:$A$49,0), MATCH(J$1,products!$A$1:$G$1,0))</f>
        <v>L</v>
      </c>
      <c r="K19" s="4">
        <f>INDEX(products!$A$1:$G$49, MATCH(orders!$D19,products!$A$1:$A$49,0), MATCH(K$1,products!$A$1:$G$1,0))</f>
        <v>1</v>
      </c>
      <c r="L19" s="5">
        <f>INDEX(products!$A$1:$G$49, MATCH(orders!$D19,products!$A$1:$A$49,0), MATCH(L$1,products!$A$1:$G$1,0))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 = 0, "", _xlfn.XLOOKUP(C20,customers!$A$1:$A$1001,customers!$C$1:$C$1001,,0))</f>
        <v>predfordi@ow.ly</v>
      </c>
      <c r="H20" s="2" t="str">
        <f>_xlfn.XLOOKUP(C20,customers!$A$1:$A$1001,customers!$G$1:$G$1001,,0)</f>
        <v>Ireland</v>
      </c>
      <c r="I20" t="str">
        <f>INDEX(products!$A$1:$G$49, MATCH(orders!$D20,products!$A$1:$A$49,0), MATCH(I$1,products!$A$1:$G$1,0))</f>
        <v>Rob</v>
      </c>
      <c r="J20" t="str">
        <f>INDEX(products!$A$1:$G$49, MATCH(orders!$D20,products!$A$1:$A$49,0), MATCH(J$1,products!$A$1:$G$1,0))</f>
        <v>D</v>
      </c>
      <c r="K20" s="4">
        <f>INDEX(products!$A$1:$G$49, MATCH(orders!$D20,products!$A$1:$A$49,0), MATCH(K$1,products!$A$1:$G$1,0))</f>
        <v>2.5</v>
      </c>
      <c r="L20" s="5">
        <f>INDEX(products!$A$1:$G$49, MATCH(orders!$D20,products!$A$1:$A$49,0), MATCH(L$1,products!$A$1:$G$1,0))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 = 0, "", _xlfn.XLOOKUP(C21,customers!$A$1:$A$1001,customers!$C$1:$C$1001,,0))</f>
        <v>acorradinoj@harvard.edu</v>
      </c>
      <c r="H21" s="2" t="str">
        <f>_xlfn.XLOOKUP(C21,customers!$A$1:$A$1001,customers!$G$1:$G$1001,,0)</f>
        <v>United States</v>
      </c>
      <c r="I21" t="str">
        <f>INDEX(products!$A$1:$G$49, MATCH(orders!$D21,products!$A$1:$A$49,0), MATCH(I$1,products!$A$1:$G$1,0))</f>
        <v>Ara</v>
      </c>
      <c r="J21" t="str">
        <f>INDEX(products!$A$1:$G$49, MATCH(orders!$D21,products!$A$1:$A$49,0), MATCH(J$1,products!$A$1:$G$1,0))</f>
        <v>M</v>
      </c>
      <c r="K21" s="4">
        <f>INDEX(products!$A$1:$G$49, MATCH(orders!$D21,products!$A$1:$A$49,0), MATCH(K$1,products!$A$1:$G$1,0))</f>
        <v>0.2</v>
      </c>
      <c r="L21" s="5">
        <f>INDEX(products!$A$1:$G$49, MATCH(orders!$D21,products!$A$1:$A$49,0), MATCH(L$1,products!$A$1:$G$1,0))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 = 0, "", _xlfn.XLOOKUP(C22,customers!$A$1:$A$1001,customers!$C$1:$C$1001,,0))</f>
        <v>acorradinoj@harvard.edu</v>
      </c>
      <c r="H22" s="2" t="str">
        <f>_xlfn.XLOOKUP(C22,customers!$A$1:$A$1001,customers!$G$1:$G$1001,,0)</f>
        <v>United States</v>
      </c>
      <c r="I22" t="str">
        <f>INDEX(products!$A$1:$G$49, MATCH(orders!$D22,products!$A$1:$A$49,0), MATCH(I$1,products!$A$1:$G$1,0))</f>
        <v>Exc</v>
      </c>
      <c r="J22" t="str">
        <f>INDEX(products!$A$1:$G$49, MATCH(orders!$D22,products!$A$1:$A$49,0), MATCH(J$1,products!$A$1:$G$1,0))</f>
        <v>D</v>
      </c>
      <c r="K22" s="4">
        <f>INDEX(products!$A$1:$G$49, MATCH(orders!$D22,products!$A$1:$A$49,0), MATCH(K$1,products!$A$1:$G$1,0))</f>
        <v>0.2</v>
      </c>
      <c r="L22" s="5">
        <f>INDEX(products!$A$1:$G$49, MATCH(orders!$D22,products!$A$1:$A$49,0), MATCH(L$1,products!$A$1:$G$1,0))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 = 0, "", _xlfn.XLOOKUP(C23,customers!$A$1:$A$1001,customers!$C$1:$C$1001,,0))</f>
        <v>adavidowskyl@netvibes.com</v>
      </c>
      <c r="H23" s="2" t="str">
        <f>_xlfn.XLOOKUP(C23,customers!$A$1:$A$1001,customers!$G$1:$G$1001,,0)</f>
        <v>United States</v>
      </c>
      <c r="I23" t="str">
        <f>INDEX(products!$A$1:$G$49, MATCH(orders!$D23,products!$A$1:$A$49,0), MATCH(I$1,products!$A$1:$G$1,0))</f>
        <v>Ara</v>
      </c>
      <c r="J23" t="str">
        <f>INDEX(products!$A$1:$G$49, MATCH(orders!$D23,products!$A$1:$A$49,0), MATCH(J$1,products!$A$1:$G$1,0))</f>
        <v>D</v>
      </c>
      <c r="K23" s="4">
        <f>INDEX(products!$A$1:$G$49, MATCH(orders!$D23,products!$A$1:$A$49,0), MATCH(K$1,products!$A$1:$G$1,0))</f>
        <v>0.2</v>
      </c>
      <c r="L23" s="5">
        <f>INDEX(products!$A$1:$G$49, MATCH(orders!$D23,products!$A$1:$A$49,0), MATCH(L$1,products!$A$1:$G$1,0))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 = 0, "", _xlfn.XLOOKUP(C24,customers!$A$1:$A$1001,customers!$C$1:$C$1001,,0))</f>
        <v>aantukm@kickstarter.com</v>
      </c>
      <c r="H24" s="2" t="str">
        <f>_xlfn.XLOOKUP(C24,customers!$A$1:$A$1001,customers!$G$1:$G$1001,,0)</f>
        <v>United States</v>
      </c>
      <c r="I24" t="str">
        <f>INDEX(products!$A$1:$G$49, MATCH(orders!$D24,products!$A$1:$A$49,0), MATCH(I$1,products!$A$1:$G$1,0))</f>
        <v>Rob</v>
      </c>
      <c r="J24" t="str">
        <f>INDEX(products!$A$1:$G$49, MATCH(orders!$D24,products!$A$1:$A$49,0), MATCH(J$1,products!$A$1:$G$1,0))</f>
        <v>M</v>
      </c>
      <c r="K24" s="4">
        <f>INDEX(products!$A$1:$G$49, MATCH(orders!$D24,products!$A$1:$A$49,0), MATCH(K$1,products!$A$1:$G$1,0))</f>
        <v>2.5</v>
      </c>
      <c r="L24" s="5">
        <f>INDEX(products!$A$1:$G$49, MATCH(orders!$D24,products!$A$1:$A$49,0), MATCH(L$1,products!$A$1:$G$1,0))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 = 0, "", _xlfn.XLOOKUP(C25,customers!$A$1:$A$1001,customers!$C$1:$C$1001,,0))</f>
        <v>ikleinertn@timesonline.co.uk</v>
      </c>
      <c r="H25" s="2" t="str">
        <f>_xlfn.XLOOKUP(C25,customers!$A$1:$A$1001,customers!$G$1:$G$1001,,0)</f>
        <v>United States</v>
      </c>
      <c r="I25" t="str">
        <f>INDEX(products!$A$1:$G$49, MATCH(orders!$D25,products!$A$1:$A$49,0), MATCH(I$1,products!$A$1:$G$1,0))</f>
        <v>Ara</v>
      </c>
      <c r="J25" t="str">
        <f>INDEX(products!$A$1:$G$49, MATCH(orders!$D25,products!$A$1:$A$49,0), MATCH(J$1,products!$A$1:$G$1,0))</f>
        <v>D</v>
      </c>
      <c r="K25" s="4">
        <f>INDEX(products!$A$1:$G$49, MATCH(orders!$D25,products!$A$1:$A$49,0), MATCH(K$1,products!$A$1:$G$1,0))</f>
        <v>0.2</v>
      </c>
      <c r="L25" s="5">
        <f>INDEX(products!$A$1:$G$49, MATCH(orders!$D25,products!$A$1:$A$49,0), MATCH(L$1,products!$A$1:$G$1,0))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 = 0, "", _xlfn.XLOOKUP(C26,customers!$A$1:$A$1001,customers!$C$1:$C$1001,,0))</f>
        <v>cblofeldo@amazon.co.uk</v>
      </c>
      <c r="H26" s="2" t="str">
        <f>_xlfn.XLOOKUP(C26,customers!$A$1:$A$1001,customers!$G$1:$G$1001,,0)</f>
        <v>United States</v>
      </c>
      <c r="I26" t="str">
        <f>INDEX(products!$A$1:$G$49, MATCH(orders!$D26,products!$A$1:$A$49,0), MATCH(I$1,products!$A$1:$G$1,0))</f>
        <v>Ara</v>
      </c>
      <c r="J26" t="str">
        <f>INDEX(products!$A$1:$G$49, MATCH(orders!$D26,products!$A$1:$A$49,0), MATCH(J$1,products!$A$1:$G$1,0))</f>
        <v>M</v>
      </c>
      <c r="K26" s="4">
        <f>INDEX(products!$A$1:$G$49, MATCH(orders!$D26,products!$A$1:$A$49,0), MATCH(K$1,products!$A$1:$G$1,0))</f>
        <v>1</v>
      </c>
      <c r="L26" s="5">
        <f>INDEX(products!$A$1:$G$49, MATCH(orders!$D26,products!$A$1:$A$49,0), MATCH(L$1,products!$A$1:$G$1,0))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 = 0, "", _xlfn.XLOOKUP(C27,customers!$A$1:$A$1001,customers!$C$1:$C$1001,,0))</f>
        <v/>
      </c>
      <c r="H27" s="2" t="str">
        <f>_xlfn.XLOOKUP(C27,customers!$A$1:$A$1001,customers!$G$1:$G$1001,,0)</f>
        <v>United States</v>
      </c>
      <c r="I27" t="str">
        <f>INDEX(products!$A$1:$G$49, MATCH(orders!$D27,products!$A$1:$A$49,0), MATCH(I$1,products!$A$1:$G$1,0))</f>
        <v>Exc</v>
      </c>
      <c r="J27" t="str">
        <f>INDEX(products!$A$1:$G$49, MATCH(orders!$D27,products!$A$1:$A$49,0), MATCH(J$1,products!$A$1:$G$1,0))</f>
        <v>M</v>
      </c>
      <c r="K27" s="4">
        <f>INDEX(products!$A$1:$G$49, MATCH(orders!$D27,products!$A$1:$A$49,0), MATCH(K$1,products!$A$1:$G$1,0))</f>
        <v>0.2</v>
      </c>
      <c r="L27" s="5">
        <f>INDEX(products!$A$1:$G$49, MATCH(orders!$D27,products!$A$1:$A$49,0), MATCH(L$1,products!$A$1:$G$1,0))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 = 0, "", _xlfn.XLOOKUP(C28,customers!$A$1:$A$1001,customers!$C$1:$C$1001,,0))</f>
        <v>sshalesq@umich.edu</v>
      </c>
      <c r="H28" s="2" t="str">
        <f>_xlfn.XLOOKUP(C28,customers!$A$1:$A$1001,customers!$G$1:$G$1001,,0)</f>
        <v>United States</v>
      </c>
      <c r="I28" t="str">
        <f>INDEX(products!$A$1:$G$49, MATCH(orders!$D28,products!$A$1:$A$49,0), MATCH(I$1,products!$A$1:$G$1,0))</f>
        <v>Ara</v>
      </c>
      <c r="J28" t="str">
        <f>INDEX(products!$A$1:$G$49, MATCH(orders!$D28,products!$A$1:$A$49,0), MATCH(J$1,products!$A$1:$G$1,0))</f>
        <v>M</v>
      </c>
      <c r="K28" s="4">
        <f>INDEX(products!$A$1:$G$49, MATCH(orders!$D28,products!$A$1:$A$49,0), MATCH(K$1,products!$A$1:$G$1,0))</f>
        <v>0.5</v>
      </c>
      <c r="L28" s="5">
        <f>INDEX(products!$A$1:$G$49, MATCH(orders!$D28,products!$A$1:$A$49,0), MATCH(L$1,products!$A$1:$G$1,0))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 = 0, "", _xlfn.XLOOKUP(C29,customers!$A$1:$A$1001,customers!$C$1:$C$1001,,0))</f>
        <v>vdanneilr@mtv.com</v>
      </c>
      <c r="H29" s="2" t="str">
        <f>_xlfn.XLOOKUP(C29,customers!$A$1:$A$1001,customers!$G$1:$G$1001,,0)</f>
        <v>Ireland</v>
      </c>
      <c r="I29" t="str">
        <f>INDEX(products!$A$1:$G$49, MATCH(orders!$D29,products!$A$1:$A$49,0), MATCH(I$1,products!$A$1:$G$1,0))</f>
        <v>Ara</v>
      </c>
      <c r="J29" t="str">
        <f>INDEX(products!$A$1:$G$49, MATCH(orders!$D29,products!$A$1:$A$49,0), MATCH(J$1,products!$A$1:$G$1,0))</f>
        <v>M</v>
      </c>
      <c r="K29" s="4">
        <f>INDEX(products!$A$1:$G$49, MATCH(orders!$D29,products!$A$1:$A$49,0), MATCH(K$1,products!$A$1:$G$1,0))</f>
        <v>0.2</v>
      </c>
      <c r="L29" s="5">
        <f>INDEX(products!$A$1:$G$49, MATCH(orders!$D29,products!$A$1:$A$49,0), MATCH(L$1,products!$A$1:$G$1,0))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 = 0, "", _xlfn.XLOOKUP(C30,customers!$A$1:$A$1001,customers!$C$1:$C$1001,,0))</f>
        <v>tnewburys@usda.gov</v>
      </c>
      <c r="H30" s="2" t="str">
        <f>_xlfn.XLOOKUP(C30,customers!$A$1:$A$1001,customers!$G$1:$G$1001,,0)</f>
        <v>Ireland</v>
      </c>
      <c r="I30" t="str">
        <f>INDEX(products!$A$1:$G$49, MATCH(orders!$D30,products!$A$1:$A$49,0), MATCH(I$1,products!$A$1:$G$1,0))</f>
        <v>Ara</v>
      </c>
      <c r="J30" t="str">
        <f>INDEX(products!$A$1:$G$49, MATCH(orders!$D30,products!$A$1:$A$49,0), MATCH(J$1,products!$A$1:$G$1,0))</f>
        <v>D</v>
      </c>
      <c r="K30" s="4">
        <f>INDEX(products!$A$1:$G$49, MATCH(orders!$D30,products!$A$1:$A$49,0), MATCH(K$1,products!$A$1:$G$1,0))</f>
        <v>0.5</v>
      </c>
      <c r="L30" s="5">
        <f>INDEX(products!$A$1:$G$49, MATCH(orders!$D30,products!$A$1:$A$49,0), MATCH(L$1,products!$A$1:$G$1,0))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 = 0, "", _xlfn.XLOOKUP(C31,customers!$A$1:$A$1001,customers!$C$1:$C$1001,,0))</f>
        <v>mcalcuttt@baidu.com</v>
      </c>
      <c r="H31" s="2" t="str">
        <f>_xlfn.XLOOKUP(C31,customers!$A$1:$A$1001,customers!$G$1:$G$1001,,0)</f>
        <v>Ireland</v>
      </c>
      <c r="I31" t="str">
        <f>INDEX(products!$A$1:$G$49, MATCH(orders!$D31,products!$A$1:$A$49,0), MATCH(I$1,products!$A$1:$G$1,0))</f>
        <v>Ara</v>
      </c>
      <c r="J31" t="str">
        <f>INDEX(products!$A$1:$G$49, MATCH(orders!$D31,products!$A$1:$A$49,0), MATCH(J$1,products!$A$1:$G$1,0))</f>
        <v>D</v>
      </c>
      <c r="K31" s="4">
        <f>INDEX(products!$A$1:$G$49, MATCH(orders!$D31,products!$A$1:$A$49,0), MATCH(K$1,products!$A$1:$G$1,0))</f>
        <v>1</v>
      </c>
      <c r="L31" s="5">
        <f>INDEX(products!$A$1:$G$49, MATCH(orders!$D31,products!$A$1:$A$49,0), MATCH(L$1,products!$A$1:$G$1,0))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 = 0, "", _xlfn.XLOOKUP(C32,customers!$A$1:$A$1001,customers!$C$1:$C$1001,,0))</f>
        <v/>
      </c>
      <c r="H32" s="2" t="str">
        <f>_xlfn.XLOOKUP(C32,customers!$A$1:$A$1001,customers!$G$1:$G$1001,,0)</f>
        <v>United States</v>
      </c>
      <c r="I32" t="str">
        <f>INDEX(products!$A$1:$G$49, MATCH(orders!$D32,products!$A$1:$A$49,0), MATCH(I$1,products!$A$1:$G$1,0))</f>
        <v>Lib</v>
      </c>
      <c r="J32" t="str">
        <f>INDEX(products!$A$1:$G$49, MATCH(orders!$D32,products!$A$1:$A$49,0), MATCH(J$1,products!$A$1:$G$1,0))</f>
        <v>M</v>
      </c>
      <c r="K32" s="4">
        <f>INDEX(products!$A$1:$G$49, MATCH(orders!$D32,products!$A$1:$A$49,0), MATCH(K$1,products!$A$1:$G$1,0))</f>
        <v>0.2</v>
      </c>
      <c r="L32" s="5">
        <f>INDEX(products!$A$1:$G$49, MATCH(orders!$D32,products!$A$1:$A$49,0), MATCH(L$1,products!$A$1:$G$1,0))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 = 0, "", _xlfn.XLOOKUP(C33,customers!$A$1:$A$1001,customers!$C$1:$C$1001,,0))</f>
        <v/>
      </c>
      <c r="H33" s="2" t="str">
        <f>_xlfn.XLOOKUP(C33,customers!$A$1:$A$1001,customers!$G$1:$G$1001,,0)</f>
        <v>United States</v>
      </c>
      <c r="I33" t="str">
        <f>INDEX(products!$A$1:$G$49, MATCH(orders!$D33,products!$A$1:$A$49,0), MATCH(I$1,products!$A$1:$G$1,0))</f>
        <v>Ara</v>
      </c>
      <c r="J33" t="str">
        <f>INDEX(products!$A$1:$G$49, MATCH(orders!$D33,products!$A$1:$A$49,0), MATCH(J$1,products!$A$1:$G$1,0))</f>
        <v>D</v>
      </c>
      <c r="K33" s="4">
        <f>INDEX(products!$A$1:$G$49, MATCH(orders!$D33,products!$A$1:$A$49,0), MATCH(K$1,products!$A$1:$G$1,0))</f>
        <v>0.5</v>
      </c>
      <c r="L33" s="5">
        <f>INDEX(products!$A$1:$G$49, MATCH(orders!$D33,products!$A$1:$A$49,0), MATCH(L$1,products!$A$1:$G$1,0))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 = 0, "", _xlfn.XLOOKUP(C34,customers!$A$1:$A$1001,customers!$C$1:$C$1001,,0))</f>
        <v/>
      </c>
      <c r="H34" s="2" t="str">
        <f>_xlfn.XLOOKUP(C34,customers!$A$1:$A$1001,customers!$G$1:$G$1001,,0)</f>
        <v>United States</v>
      </c>
      <c r="I34" t="str">
        <f>INDEX(products!$A$1:$G$49, MATCH(orders!$D34,products!$A$1:$A$49,0), MATCH(I$1,products!$A$1:$G$1,0))</f>
        <v>Lib</v>
      </c>
      <c r="J34" t="str">
        <f>INDEX(products!$A$1:$G$49, MATCH(orders!$D34,products!$A$1:$A$49,0), MATCH(J$1,products!$A$1:$G$1,0))</f>
        <v>M</v>
      </c>
      <c r="K34" s="4">
        <f>INDEX(products!$A$1:$G$49, MATCH(orders!$D34,products!$A$1:$A$49,0), MATCH(K$1,products!$A$1:$G$1,0))</f>
        <v>0.5</v>
      </c>
      <c r="L34" s="5">
        <f>INDEX(products!$A$1:$G$49, MATCH(orders!$D34,products!$A$1:$A$49,0), MATCH(L$1,products!$A$1:$G$1,0))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 = 0, "", _xlfn.XLOOKUP(C35,customers!$A$1:$A$1001,customers!$C$1:$C$1001,,0))</f>
        <v>ggatheralx@123-reg.co.uk</v>
      </c>
      <c r="H35" s="2" t="str">
        <f>_xlfn.XLOOKUP(C35,customers!$A$1:$A$1001,customers!$G$1:$G$1001,,0)</f>
        <v>United States</v>
      </c>
      <c r="I35" t="str">
        <f>INDEX(products!$A$1:$G$49, MATCH(orders!$D35,products!$A$1:$A$49,0), MATCH(I$1,products!$A$1:$G$1,0))</f>
        <v>Lib</v>
      </c>
      <c r="J35" t="str">
        <f>INDEX(products!$A$1:$G$49, MATCH(orders!$D35,products!$A$1:$A$49,0), MATCH(J$1,products!$A$1:$G$1,0))</f>
        <v>L</v>
      </c>
      <c r="K35" s="4">
        <f>INDEX(products!$A$1:$G$49, MATCH(orders!$D35,products!$A$1:$A$49,0), MATCH(K$1,products!$A$1:$G$1,0))</f>
        <v>0.2</v>
      </c>
      <c r="L35" s="5">
        <f>INDEX(products!$A$1:$G$49, MATCH(orders!$D35,products!$A$1:$A$49,0), MATCH(L$1,products!$A$1:$G$1,0))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 = 0, "", _xlfn.XLOOKUP(C36,customers!$A$1:$A$1001,customers!$C$1:$C$1001,,0))</f>
        <v>uwelberryy@ebay.co.uk</v>
      </c>
      <c r="H36" s="2" t="str">
        <f>_xlfn.XLOOKUP(C36,customers!$A$1:$A$1001,customers!$G$1:$G$1001,,0)</f>
        <v>United Kingdom</v>
      </c>
      <c r="I36" t="str">
        <f>INDEX(products!$A$1:$G$49, MATCH(orders!$D36,products!$A$1:$A$49,0), MATCH(I$1,products!$A$1:$G$1,0))</f>
        <v>Lib</v>
      </c>
      <c r="J36" t="str">
        <f>INDEX(products!$A$1:$G$49, MATCH(orders!$D36,products!$A$1:$A$49,0), MATCH(J$1,products!$A$1:$G$1,0))</f>
        <v>L</v>
      </c>
      <c r="K36" s="4">
        <f>INDEX(products!$A$1:$G$49, MATCH(orders!$D36,products!$A$1:$A$49,0), MATCH(K$1,products!$A$1:$G$1,0))</f>
        <v>0.5</v>
      </c>
      <c r="L36" s="5">
        <f>INDEX(products!$A$1:$G$49, MATCH(orders!$D36,products!$A$1:$A$49,0), MATCH(L$1,products!$A$1:$G$1,0))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 = 0, "", _xlfn.XLOOKUP(C37,customers!$A$1:$A$1001,customers!$C$1:$C$1001,,0))</f>
        <v>feilhartz@who.int</v>
      </c>
      <c r="H37" s="2" t="str">
        <f>_xlfn.XLOOKUP(C37,customers!$A$1:$A$1001,customers!$G$1:$G$1001,,0)</f>
        <v>United States</v>
      </c>
      <c r="I37" t="str">
        <f>INDEX(products!$A$1:$G$49, MATCH(orders!$D37,products!$A$1:$A$49,0), MATCH(I$1,products!$A$1:$G$1,0))</f>
        <v>Ara</v>
      </c>
      <c r="J37" t="str">
        <f>INDEX(products!$A$1:$G$49, MATCH(orders!$D37,products!$A$1:$A$49,0), MATCH(J$1,products!$A$1:$G$1,0))</f>
        <v>D</v>
      </c>
      <c r="K37" s="4">
        <f>INDEX(products!$A$1:$G$49, MATCH(orders!$D37,products!$A$1:$A$49,0), MATCH(K$1,products!$A$1:$G$1,0))</f>
        <v>0.5</v>
      </c>
      <c r="L37" s="5">
        <f>INDEX(products!$A$1:$G$49, MATCH(orders!$D37,products!$A$1:$A$49,0), MATCH(L$1,products!$A$1:$G$1,0))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 = 0, "", _xlfn.XLOOKUP(C38,customers!$A$1:$A$1001,customers!$C$1:$C$1001,,0))</f>
        <v>zponting10@altervista.org</v>
      </c>
      <c r="H38" s="2" t="str">
        <f>_xlfn.XLOOKUP(C38,customers!$A$1:$A$1001,customers!$G$1:$G$1001,,0)</f>
        <v>United States</v>
      </c>
      <c r="I38" t="str">
        <f>INDEX(products!$A$1:$G$49, MATCH(orders!$D38,products!$A$1:$A$49,0), MATCH(I$1,products!$A$1:$G$1,0))</f>
        <v>Lib</v>
      </c>
      <c r="J38" t="str">
        <f>INDEX(products!$A$1:$G$49, MATCH(orders!$D38,products!$A$1:$A$49,0), MATCH(J$1,products!$A$1:$G$1,0))</f>
        <v>M</v>
      </c>
      <c r="K38" s="4">
        <f>INDEX(products!$A$1:$G$49, MATCH(orders!$D38,products!$A$1:$A$49,0), MATCH(K$1,products!$A$1:$G$1,0))</f>
        <v>0.2</v>
      </c>
      <c r="L38" s="5">
        <f>INDEX(products!$A$1:$G$49, MATCH(orders!$D38,products!$A$1:$A$49,0), MATCH(L$1,products!$A$1:$G$1,0))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 = 0, "", _xlfn.XLOOKUP(C39,customers!$A$1:$A$1001,customers!$C$1:$C$1001,,0))</f>
        <v>sstrase11@booking.com</v>
      </c>
      <c r="H39" s="2" t="str">
        <f>_xlfn.XLOOKUP(C39,customers!$A$1:$A$1001,customers!$G$1:$G$1001,,0)</f>
        <v>United States</v>
      </c>
      <c r="I39" t="str">
        <f>INDEX(products!$A$1:$G$49, MATCH(orders!$D39,products!$A$1:$A$49,0), MATCH(I$1,products!$A$1:$G$1,0))</f>
        <v>Lib</v>
      </c>
      <c r="J39" t="str">
        <f>INDEX(products!$A$1:$G$49, MATCH(orders!$D39,products!$A$1:$A$49,0), MATCH(J$1,products!$A$1:$G$1,0))</f>
        <v>L</v>
      </c>
      <c r="K39" s="4">
        <f>INDEX(products!$A$1:$G$49, MATCH(orders!$D39,products!$A$1:$A$49,0), MATCH(K$1,products!$A$1:$G$1,0))</f>
        <v>0.5</v>
      </c>
      <c r="L39" s="5">
        <f>INDEX(products!$A$1:$G$49, MATCH(orders!$D39,products!$A$1:$A$49,0), MATCH(L$1,products!$A$1:$G$1,0))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 = 0, "", _xlfn.XLOOKUP(C40,customers!$A$1:$A$1001,customers!$C$1:$C$1001,,0))</f>
        <v>dde12@unesco.org</v>
      </c>
      <c r="H40" s="2" t="str">
        <f>_xlfn.XLOOKUP(C40,customers!$A$1:$A$1001,customers!$G$1:$G$1001,,0)</f>
        <v>United States</v>
      </c>
      <c r="I40" t="str">
        <f>INDEX(products!$A$1:$G$49, MATCH(orders!$D40,products!$A$1:$A$49,0), MATCH(I$1,products!$A$1:$G$1,0))</f>
        <v>Rob</v>
      </c>
      <c r="J40" t="str">
        <f>INDEX(products!$A$1:$G$49, MATCH(orders!$D40,products!$A$1:$A$49,0), MATCH(J$1,products!$A$1:$G$1,0))</f>
        <v>M</v>
      </c>
      <c r="K40" s="4">
        <f>INDEX(products!$A$1:$G$49, MATCH(orders!$D40,products!$A$1:$A$49,0), MATCH(K$1,products!$A$1:$G$1,0))</f>
        <v>2.5</v>
      </c>
      <c r="L40" s="5">
        <f>INDEX(products!$A$1:$G$49, MATCH(orders!$D40,products!$A$1:$A$49,0), MATCH(L$1,products!$A$1:$G$1,0))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 = 0, "", _xlfn.XLOOKUP(C41,customers!$A$1:$A$1001,customers!$C$1:$C$1001,,0))</f>
        <v/>
      </c>
      <c r="H41" s="2" t="str">
        <f>_xlfn.XLOOKUP(C41,customers!$A$1:$A$1001,customers!$G$1:$G$1001,,0)</f>
        <v>United States</v>
      </c>
      <c r="I41" t="str">
        <f>INDEX(products!$A$1:$G$49, MATCH(orders!$D41,products!$A$1:$A$49,0), MATCH(I$1,products!$A$1:$G$1,0))</f>
        <v>Rob</v>
      </c>
      <c r="J41" t="str">
        <f>INDEX(products!$A$1:$G$49, MATCH(orders!$D41,products!$A$1:$A$49,0), MATCH(J$1,products!$A$1:$G$1,0))</f>
        <v>M</v>
      </c>
      <c r="K41" s="4">
        <f>INDEX(products!$A$1:$G$49, MATCH(orders!$D41,products!$A$1:$A$49,0), MATCH(K$1,products!$A$1:$G$1,0))</f>
        <v>1</v>
      </c>
      <c r="L41" s="5">
        <f>INDEX(products!$A$1:$G$49, MATCH(orders!$D41,products!$A$1:$A$49,0), MATCH(L$1,products!$A$1:$G$1,0))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 = 0, "", _xlfn.XLOOKUP(C42,customers!$A$1:$A$1001,customers!$C$1:$C$1001,,0))</f>
        <v/>
      </c>
      <c r="H42" s="2" t="str">
        <f>_xlfn.XLOOKUP(C42,customers!$A$1:$A$1001,customers!$G$1:$G$1001,,0)</f>
        <v>United States</v>
      </c>
      <c r="I42" t="str">
        <f>INDEX(products!$A$1:$G$49, MATCH(orders!$D42,products!$A$1:$A$49,0), MATCH(I$1,products!$A$1:$G$1,0))</f>
        <v>Lib</v>
      </c>
      <c r="J42" t="str">
        <f>INDEX(products!$A$1:$G$49, MATCH(orders!$D42,products!$A$1:$A$49,0), MATCH(J$1,products!$A$1:$G$1,0))</f>
        <v>M</v>
      </c>
      <c r="K42" s="4">
        <f>INDEX(products!$A$1:$G$49, MATCH(orders!$D42,products!$A$1:$A$49,0), MATCH(K$1,products!$A$1:$G$1,0))</f>
        <v>1</v>
      </c>
      <c r="L42" s="5">
        <f>INDEX(products!$A$1:$G$49, MATCH(orders!$D42,products!$A$1:$A$49,0), MATCH(L$1,products!$A$1:$G$1,0))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 = 0, "", _xlfn.XLOOKUP(C43,customers!$A$1:$A$1001,customers!$C$1:$C$1001,,0))</f>
        <v>lyeoland15@pbs.org</v>
      </c>
      <c r="H43" s="2" t="str">
        <f>_xlfn.XLOOKUP(C43,customers!$A$1:$A$1001,customers!$G$1:$G$1001,,0)</f>
        <v>United States</v>
      </c>
      <c r="I43" t="str">
        <f>INDEX(products!$A$1:$G$49, MATCH(orders!$D43,products!$A$1:$A$49,0), MATCH(I$1,products!$A$1:$G$1,0))</f>
        <v>Exc</v>
      </c>
      <c r="J43" t="str">
        <f>INDEX(products!$A$1:$G$49, MATCH(orders!$D43,products!$A$1:$A$49,0), MATCH(J$1,products!$A$1:$G$1,0))</f>
        <v>D</v>
      </c>
      <c r="K43" s="4">
        <f>INDEX(products!$A$1:$G$49, MATCH(orders!$D43,products!$A$1:$A$49,0), MATCH(K$1,products!$A$1:$G$1,0))</f>
        <v>0.2</v>
      </c>
      <c r="L43" s="5">
        <f>INDEX(products!$A$1:$G$49, MATCH(orders!$D43,products!$A$1:$A$49,0), MATCH(L$1,products!$A$1:$G$1,0))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 = 0, "", _xlfn.XLOOKUP(C44,customers!$A$1:$A$1001,customers!$C$1:$C$1001,,0))</f>
        <v>atolworthy16@toplist.cz</v>
      </c>
      <c r="H44" s="2" t="str">
        <f>_xlfn.XLOOKUP(C44,customers!$A$1:$A$1001,customers!$G$1:$G$1001,,0)</f>
        <v>United States</v>
      </c>
      <c r="I44" t="str">
        <f>INDEX(products!$A$1:$G$49, MATCH(orders!$D44,products!$A$1:$A$49,0), MATCH(I$1,products!$A$1:$G$1,0))</f>
        <v>Rob</v>
      </c>
      <c r="J44" t="str">
        <f>INDEX(products!$A$1:$G$49, MATCH(orders!$D44,products!$A$1:$A$49,0), MATCH(J$1,products!$A$1:$G$1,0))</f>
        <v>D</v>
      </c>
      <c r="K44" s="4">
        <f>INDEX(products!$A$1:$G$49, MATCH(orders!$D44,products!$A$1:$A$49,0), MATCH(K$1,products!$A$1:$G$1,0))</f>
        <v>0.2</v>
      </c>
      <c r="L44" s="5">
        <f>INDEX(products!$A$1:$G$49, MATCH(orders!$D44,products!$A$1:$A$49,0), MATCH(L$1,products!$A$1:$G$1,0))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 = 0, "", _xlfn.XLOOKUP(C45,customers!$A$1:$A$1001,customers!$C$1:$C$1001,,0))</f>
        <v/>
      </c>
      <c r="H45" s="2" t="str">
        <f>_xlfn.XLOOKUP(C45,customers!$A$1:$A$1001,customers!$G$1:$G$1001,,0)</f>
        <v>United States</v>
      </c>
      <c r="I45" t="str">
        <f>INDEX(products!$A$1:$G$49, MATCH(orders!$D45,products!$A$1:$A$49,0), MATCH(I$1,products!$A$1:$G$1,0))</f>
        <v>Lib</v>
      </c>
      <c r="J45" t="str">
        <f>INDEX(products!$A$1:$G$49, MATCH(orders!$D45,products!$A$1:$A$49,0), MATCH(J$1,products!$A$1:$G$1,0))</f>
        <v>L</v>
      </c>
      <c r="K45" s="4">
        <f>INDEX(products!$A$1:$G$49, MATCH(orders!$D45,products!$A$1:$A$49,0), MATCH(K$1,products!$A$1:$G$1,0))</f>
        <v>2.5</v>
      </c>
      <c r="L45" s="5">
        <f>INDEX(products!$A$1:$G$49, MATCH(orders!$D45,products!$A$1:$A$49,0), MATCH(L$1,products!$A$1:$G$1,0))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 = 0, "", _xlfn.XLOOKUP(C46,customers!$A$1:$A$1001,customers!$C$1:$C$1001,,0))</f>
        <v>obaudassi18@seesaa.net</v>
      </c>
      <c r="H46" s="2" t="str">
        <f>_xlfn.XLOOKUP(C46,customers!$A$1:$A$1001,customers!$G$1:$G$1001,,0)</f>
        <v>United States</v>
      </c>
      <c r="I46" t="str">
        <f>INDEX(products!$A$1:$G$49, MATCH(orders!$D46,products!$A$1:$A$49,0), MATCH(I$1,products!$A$1:$G$1,0))</f>
        <v>Exc</v>
      </c>
      <c r="J46" t="str">
        <f>INDEX(products!$A$1:$G$49, MATCH(orders!$D46,products!$A$1:$A$49,0), MATCH(J$1,products!$A$1:$G$1,0))</f>
        <v>M</v>
      </c>
      <c r="K46" s="4">
        <f>INDEX(products!$A$1:$G$49, MATCH(orders!$D46,products!$A$1:$A$49,0), MATCH(K$1,products!$A$1:$G$1,0))</f>
        <v>0.5</v>
      </c>
      <c r="L46" s="5">
        <f>INDEX(products!$A$1:$G$49, MATCH(orders!$D46,products!$A$1:$A$49,0), MATCH(L$1,products!$A$1:$G$1,0))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 = 0, "", _xlfn.XLOOKUP(C47,customers!$A$1:$A$1001,customers!$C$1:$C$1001,,0))</f>
        <v>pkingsbury19@comcast.net</v>
      </c>
      <c r="H47" s="2" t="str">
        <f>_xlfn.XLOOKUP(C47,customers!$A$1:$A$1001,customers!$G$1:$G$1001,,0)</f>
        <v>United States</v>
      </c>
      <c r="I47" t="str">
        <f>INDEX(products!$A$1:$G$49, MATCH(orders!$D47,products!$A$1:$A$49,0), MATCH(I$1,products!$A$1:$G$1,0))</f>
        <v>Lib</v>
      </c>
      <c r="J47" t="str">
        <f>INDEX(products!$A$1:$G$49, MATCH(orders!$D47,products!$A$1:$A$49,0), MATCH(J$1,products!$A$1:$G$1,0))</f>
        <v>D</v>
      </c>
      <c r="K47" s="4">
        <f>INDEX(products!$A$1:$G$49, MATCH(orders!$D47,products!$A$1:$A$49,0), MATCH(K$1,products!$A$1:$G$1,0))</f>
        <v>2.5</v>
      </c>
      <c r="L47" s="5">
        <f>INDEX(products!$A$1:$G$49, MATCH(orders!$D47,products!$A$1:$A$49,0), MATCH(L$1,products!$A$1:$G$1,0))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 = 0, "", _xlfn.XLOOKUP(C48,customers!$A$1:$A$1001,customers!$C$1:$C$1001,,0))</f>
        <v/>
      </c>
      <c r="H48" s="2" t="str">
        <f>_xlfn.XLOOKUP(C48,customers!$A$1:$A$1001,customers!$G$1:$G$1001,,0)</f>
        <v>United States</v>
      </c>
      <c r="I48" t="str">
        <f>INDEX(products!$A$1:$G$49, MATCH(orders!$D48,products!$A$1:$A$49,0), MATCH(I$1,products!$A$1:$G$1,0))</f>
        <v>Exc</v>
      </c>
      <c r="J48" t="str">
        <f>INDEX(products!$A$1:$G$49, MATCH(orders!$D48,products!$A$1:$A$49,0), MATCH(J$1,products!$A$1:$G$1,0))</f>
        <v>M</v>
      </c>
      <c r="K48" s="4">
        <f>INDEX(products!$A$1:$G$49, MATCH(orders!$D48,products!$A$1:$A$49,0), MATCH(K$1,products!$A$1:$G$1,0))</f>
        <v>2.5</v>
      </c>
      <c r="L48" s="5">
        <f>INDEX(products!$A$1:$G$49, MATCH(orders!$D48,products!$A$1:$A$49,0), MATCH(L$1,products!$A$1:$G$1,0))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 = 0, "", _xlfn.XLOOKUP(C49,customers!$A$1:$A$1001,customers!$C$1:$C$1001,,0))</f>
        <v>acurley1b@hao123.com</v>
      </c>
      <c r="H49" s="2" t="str">
        <f>_xlfn.XLOOKUP(C49,customers!$A$1:$A$1001,customers!$G$1:$G$1001,,0)</f>
        <v>United States</v>
      </c>
      <c r="I49" t="str">
        <f>INDEX(products!$A$1:$G$49, MATCH(orders!$D49,products!$A$1:$A$49,0), MATCH(I$1,products!$A$1:$G$1,0))</f>
        <v>Ara</v>
      </c>
      <c r="J49" t="str">
        <f>INDEX(products!$A$1:$G$49, MATCH(orders!$D49,products!$A$1:$A$49,0), MATCH(J$1,products!$A$1:$G$1,0))</f>
        <v>L</v>
      </c>
      <c r="K49" s="4">
        <f>INDEX(products!$A$1:$G$49, MATCH(orders!$D49,products!$A$1:$A$49,0), MATCH(K$1,products!$A$1:$G$1,0))</f>
        <v>0.2</v>
      </c>
      <c r="L49" s="5">
        <f>INDEX(products!$A$1:$G$49, MATCH(orders!$D49,products!$A$1:$A$49,0), MATCH(L$1,products!$A$1:$G$1,0))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 = 0, "", _xlfn.XLOOKUP(C50,customers!$A$1:$A$1001,customers!$C$1:$C$1001,,0))</f>
        <v>rmcgilvary1c@tamu.edu</v>
      </c>
      <c r="H50" s="2" t="str">
        <f>_xlfn.XLOOKUP(C50,customers!$A$1:$A$1001,customers!$G$1:$G$1001,,0)</f>
        <v>United States</v>
      </c>
      <c r="I50" t="str">
        <f>INDEX(products!$A$1:$G$49, MATCH(orders!$D50,products!$A$1:$A$49,0), MATCH(I$1,products!$A$1:$G$1,0))</f>
        <v>Ara</v>
      </c>
      <c r="J50" t="str">
        <f>INDEX(products!$A$1:$G$49, MATCH(orders!$D50,products!$A$1:$A$49,0), MATCH(J$1,products!$A$1:$G$1,0))</f>
        <v>D</v>
      </c>
      <c r="K50" s="4">
        <f>INDEX(products!$A$1:$G$49, MATCH(orders!$D50,products!$A$1:$A$49,0), MATCH(K$1,products!$A$1:$G$1,0))</f>
        <v>2.5</v>
      </c>
      <c r="L50" s="5">
        <f>INDEX(products!$A$1:$G$49, MATCH(orders!$D50,products!$A$1:$A$49,0), MATCH(L$1,products!$A$1:$G$1,0))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 = 0, "", _xlfn.XLOOKUP(C51,customers!$A$1:$A$1001,customers!$C$1:$C$1001,,0))</f>
        <v>ipikett1d@xinhuanet.com</v>
      </c>
      <c r="H51" s="2" t="str">
        <f>_xlfn.XLOOKUP(C51,customers!$A$1:$A$1001,customers!$G$1:$G$1001,,0)</f>
        <v>United States</v>
      </c>
      <c r="I51" t="str">
        <f>INDEX(products!$A$1:$G$49, MATCH(orders!$D51,products!$A$1:$A$49,0), MATCH(I$1,products!$A$1:$G$1,0))</f>
        <v>Ara</v>
      </c>
      <c r="J51" t="str">
        <f>INDEX(products!$A$1:$G$49, MATCH(orders!$D51,products!$A$1:$A$49,0), MATCH(J$1,products!$A$1:$G$1,0))</f>
        <v>L</v>
      </c>
      <c r="K51" s="4">
        <f>INDEX(products!$A$1:$G$49, MATCH(orders!$D51,products!$A$1:$A$49,0), MATCH(K$1,products!$A$1:$G$1,0))</f>
        <v>1</v>
      </c>
      <c r="L51" s="5">
        <f>INDEX(products!$A$1:$G$49, MATCH(orders!$D51,products!$A$1:$A$49,0), MATCH(L$1,products!$A$1:$G$1,0))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 = 0, "", _xlfn.XLOOKUP(C52,customers!$A$1:$A$1001,customers!$C$1:$C$1001,,0))</f>
        <v>ibouldon1e@gizmodo.com</v>
      </c>
      <c r="H52" s="2" t="str">
        <f>_xlfn.XLOOKUP(C52,customers!$A$1:$A$1001,customers!$G$1:$G$1001,,0)</f>
        <v>United States</v>
      </c>
      <c r="I52" t="str">
        <f>INDEX(products!$A$1:$G$49, MATCH(orders!$D52,products!$A$1:$A$49,0), MATCH(I$1,products!$A$1:$G$1,0))</f>
        <v>Lib</v>
      </c>
      <c r="J52" t="str">
        <f>INDEX(products!$A$1:$G$49, MATCH(orders!$D52,products!$A$1:$A$49,0), MATCH(J$1,products!$A$1:$G$1,0))</f>
        <v>D</v>
      </c>
      <c r="K52" s="4">
        <f>INDEX(products!$A$1:$G$49, MATCH(orders!$D52,products!$A$1:$A$49,0), MATCH(K$1,products!$A$1:$G$1,0))</f>
        <v>0.5</v>
      </c>
      <c r="L52" s="5">
        <f>INDEX(products!$A$1:$G$49, MATCH(orders!$D52,products!$A$1:$A$49,0), MATCH(L$1,products!$A$1:$G$1,0))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 = 0, "", _xlfn.XLOOKUP(C53,customers!$A$1:$A$1001,customers!$C$1:$C$1001,,0))</f>
        <v>kflanders1f@over-blog.com</v>
      </c>
      <c r="H53" s="2" t="str">
        <f>_xlfn.XLOOKUP(C53,customers!$A$1:$A$1001,customers!$G$1:$G$1001,,0)</f>
        <v>Ireland</v>
      </c>
      <c r="I53" t="str">
        <f>INDEX(products!$A$1:$G$49, MATCH(orders!$D53,products!$A$1:$A$49,0), MATCH(I$1,products!$A$1:$G$1,0))</f>
        <v>Lib</v>
      </c>
      <c r="J53" t="str">
        <f>INDEX(products!$A$1:$G$49, MATCH(orders!$D53,products!$A$1:$A$49,0), MATCH(J$1,products!$A$1:$G$1,0))</f>
        <v>L</v>
      </c>
      <c r="K53" s="4">
        <f>INDEX(products!$A$1:$G$49, MATCH(orders!$D53,products!$A$1:$A$49,0), MATCH(K$1,products!$A$1:$G$1,0))</f>
        <v>2.5</v>
      </c>
      <c r="L53" s="5">
        <f>INDEX(products!$A$1:$G$49, MATCH(orders!$D53,products!$A$1:$A$49,0), MATCH(L$1,products!$A$1:$G$1,0))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 = 0, "", _xlfn.XLOOKUP(C54,customers!$A$1:$A$1001,customers!$C$1:$C$1001,,0))</f>
        <v>hmattioli1g@webmd.com</v>
      </c>
      <c r="H54" s="2" t="str">
        <f>_xlfn.XLOOKUP(C54,customers!$A$1:$A$1001,customers!$G$1:$G$1001,,0)</f>
        <v>United Kingdom</v>
      </c>
      <c r="I54" t="str">
        <f>INDEX(products!$A$1:$G$49, MATCH(orders!$D54,products!$A$1:$A$49,0), MATCH(I$1,products!$A$1:$G$1,0))</f>
        <v>Rob</v>
      </c>
      <c r="J54" t="str">
        <f>INDEX(products!$A$1:$G$49, MATCH(orders!$D54,products!$A$1:$A$49,0), MATCH(J$1,products!$A$1:$G$1,0))</f>
        <v>M</v>
      </c>
      <c r="K54" s="4">
        <f>INDEX(products!$A$1:$G$49, MATCH(orders!$D54,products!$A$1:$A$49,0), MATCH(K$1,products!$A$1:$G$1,0))</f>
        <v>0.5</v>
      </c>
      <c r="L54" s="5">
        <f>INDEX(products!$A$1:$G$49, MATCH(orders!$D54,products!$A$1:$A$49,0), MATCH(L$1,products!$A$1:$G$1,0))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 = 0, "", _xlfn.XLOOKUP(C55,customers!$A$1:$A$1001,customers!$C$1:$C$1001,,0))</f>
        <v>hmattioli1g@webmd.com</v>
      </c>
      <c r="H55" s="2" t="str">
        <f>_xlfn.XLOOKUP(C55,customers!$A$1:$A$1001,customers!$G$1:$G$1001,,0)</f>
        <v>United Kingdom</v>
      </c>
      <c r="I55" t="str">
        <f>INDEX(products!$A$1:$G$49, MATCH(orders!$D55,products!$A$1:$A$49,0), MATCH(I$1,products!$A$1:$G$1,0))</f>
        <v>Lib</v>
      </c>
      <c r="J55" t="str">
        <f>INDEX(products!$A$1:$G$49, MATCH(orders!$D55,products!$A$1:$A$49,0), MATCH(J$1,products!$A$1:$G$1,0))</f>
        <v>L</v>
      </c>
      <c r="K55" s="4">
        <f>INDEX(products!$A$1:$G$49, MATCH(orders!$D55,products!$A$1:$A$49,0), MATCH(K$1,products!$A$1:$G$1,0))</f>
        <v>2.5</v>
      </c>
      <c r="L55" s="5">
        <f>INDEX(products!$A$1:$G$49, MATCH(orders!$D55,products!$A$1:$A$49,0), MATCH(L$1,products!$A$1:$G$1,0))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 = 0, "", _xlfn.XLOOKUP(C56,customers!$A$1:$A$1001,customers!$C$1:$C$1001,,0))</f>
        <v>agillard1i@issuu.com</v>
      </c>
      <c r="H56" s="2" t="str">
        <f>_xlfn.XLOOKUP(C56,customers!$A$1:$A$1001,customers!$G$1:$G$1001,,0)</f>
        <v>United States</v>
      </c>
      <c r="I56" t="str">
        <f>INDEX(products!$A$1:$G$49, MATCH(orders!$D56,products!$A$1:$A$49,0), MATCH(I$1,products!$A$1:$G$1,0))</f>
        <v>Lib</v>
      </c>
      <c r="J56" t="str">
        <f>INDEX(products!$A$1:$G$49, MATCH(orders!$D56,products!$A$1:$A$49,0), MATCH(J$1,products!$A$1:$G$1,0))</f>
        <v>M</v>
      </c>
      <c r="K56" s="4">
        <f>INDEX(products!$A$1:$G$49, MATCH(orders!$D56,products!$A$1:$A$49,0), MATCH(K$1,products!$A$1:$G$1,0))</f>
        <v>1</v>
      </c>
      <c r="L56" s="5">
        <f>INDEX(products!$A$1:$G$49, MATCH(orders!$D56,products!$A$1:$A$49,0), MATCH(L$1,products!$A$1:$G$1,0))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 = 0, "", _xlfn.XLOOKUP(C57,customers!$A$1:$A$1001,customers!$C$1:$C$1001,,0))</f>
        <v/>
      </c>
      <c r="H57" s="2" t="str">
        <f>_xlfn.XLOOKUP(C57,customers!$A$1:$A$1001,customers!$G$1:$G$1001,,0)</f>
        <v>United States</v>
      </c>
      <c r="I57" t="str">
        <f>INDEX(products!$A$1:$G$49, MATCH(orders!$D57,products!$A$1:$A$49,0), MATCH(I$1,products!$A$1:$G$1,0))</f>
        <v>Lib</v>
      </c>
      <c r="J57" t="str">
        <f>INDEX(products!$A$1:$G$49, MATCH(orders!$D57,products!$A$1:$A$49,0), MATCH(J$1,products!$A$1:$G$1,0))</f>
        <v>L</v>
      </c>
      <c r="K57" s="4">
        <f>INDEX(products!$A$1:$G$49, MATCH(orders!$D57,products!$A$1:$A$49,0), MATCH(K$1,products!$A$1:$G$1,0))</f>
        <v>1</v>
      </c>
      <c r="L57" s="5">
        <f>INDEX(products!$A$1:$G$49, MATCH(orders!$D57,products!$A$1:$A$49,0), MATCH(L$1,products!$A$1:$G$1,0))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 = 0, "", _xlfn.XLOOKUP(C58,customers!$A$1:$A$1001,customers!$C$1:$C$1001,,0))</f>
        <v>tgrizard1k@odnoklassniki.ru</v>
      </c>
      <c r="H58" s="2" t="str">
        <f>_xlfn.XLOOKUP(C58,customers!$A$1:$A$1001,customers!$G$1:$G$1001,,0)</f>
        <v>United States</v>
      </c>
      <c r="I58" t="str">
        <f>INDEX(products!$A$1:$G$49, MATCH(orders!$D58,products!$A$1:$A$49,0), MATCH(I$1,products!$A$1:$G$1,0))</f>
        <v>Exc</v>
      </c>
      <c r="J58" t="str">
        <f>INDEX(products!$A$1:$G$49, MATCH(orders!$D58,products!$A$1:$A$49,0), MATCH(J$1,products!$A$1:$G$1,0))</f>
        <v>D</v>
      </c>
      <c r="K58" s="4">
        <f>INDEX(products!$A$1:$G$49, MATCH(orders!$D58,products!$A$1:$A$49,0), MATCH(K$1,products!$A$1:$G$1,0))</f>
        <v>0.2</v>
      </c>
      <c r="L58" s="5">
        <f>INDEX(products!$A$1:$G$49, MATCH(orders!$D58,products!$A$1:$A$49,0), MATCH(L$1,products!$A$1:$G$1,0))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 = 0, "", _xlfn.XLOOKUP(C59,customers!$A$1:$A$1001,customers!$C$1:$C$1001,,0))</f>
        <v>rrelton1l@stanford.edu</v>
      </c>
      <c r="H59" s="2" t="str">
        <f>_xlfn.XLOOKUP(C59,customers!$A$1:$A$1001,customers!$G$1:$G$1001,,0)</f>
        <v>United States</v>
      </c>
      <c r="I59" t="str">
        <f>INDEX(products!$A$1:$G$49, MATCH(orders!$D59,products!$A$1:$A$49,0), MATCH(I$1,products!$A$1:$G$1,0))</f>
        <v>Exc</v>
      </c>
      <c r="J59" t="str">
        <f>INDEX(products!$A$1:$G$49, MATCH(orders!$D59,products!$A$1:$A$49,0), MATCH(J$1,products!$A$1:$G$1,0))</f>
        <v>L</v>
      </c>
      <c r="K59" s="4">
        <f>INDEX(products!$A$1:$G$49, MATCH(orders!$D59,products!$A$1:$A$49,0), MATCH(K$1,products!$A$1:$G$1,0))</f>
        <v>1</v>
      </c>
      <c r="L59" s="5">
        <f>INDEX(products!$A$1:$G$49, MATCH(orders!$D59,products!$A$1:$A$49,0), MATCH(L$1,products!$A$1:$G$1,0))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 = 0, "", _xlfn.XLOOKUP(C60,customers!$A$1:$A$1001,customers!$C$1:$C$1001,,0))</f>
        <v/>
      </c>
      <c r="H60" s="2" t="str">
        <f>_xlfn.XLOOKUP(C60,customers!$A$1:$A$1001,customers!$G$1:$G$1001,,0)</f>
        <v>United States</v>
      </c>
      <c r="I60" t="str">
        <f>INDEX(products!$A$1:$G$49, MATCH(orders!$D60,products!$A$1:$A$49,0), MATCH(I$1,products!$A$1:$G$1,0))</f>
        <v>Lib</v>
      </c>
      <c r="J60" t="str">
        <f>INDEX(products!$A$1:$G$49, MATCH(orders!$D60,products!$A$1:$A$49,0), MATCH(J$1,products!$A$1:$G$1,0))</f>
        <v>D</v>
      </c>
      <c r="K60" s="4">
        <f>INDEX(products!$A$1:$G$49, MATCH(orders!$D60,products!$A$1:$A$49,0), MATCH(K$1,products!$A$1:$G$1,0))</f>
        <v>2.5</v>
      </c>
      <c r="L60" s="5">
        <f>INDEX(products!$A$1:$G$49, MATCH(orders!$D60,products!$A$1:$A$49,0), MATCH(L$1,products!$A$1:$G$1,0))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 = 0, "", _xlfn.XLOOKUP(C61,customers!$A$1:$A$1001,customers!$C$1:$C$1001,,0))</f>
        <v>sgilroy1n@eepurl.com</v>
      </c>
      <c r="H61" s="2" t="str">
        <f>_xlfn.XLOOKUP(C61,customers!$A$1:$A$1001,customers!$G$1:$G$1001,,0)</f>
        <v>United States</v>
      </c>
      <c r="I61" t="str">
        <f>INDEX(products!$A$1:$G$49, MATCH(orders!$D61,products!$A$1:$A$49,0), MATCH(I$1,products!$A$1:$G$1,0))</f>
        <v>Lib</v>
      </c>
      <c r="J61" t="str">
        <f>INDEX(products!$A$1:$G$49, MATCH(orders!$D61,products!$A$1:$A$49,0), MATCH(J$1,products!$A$1:$G$1,0))</f>
        <v>M</v>
      </c>
      <c r="K61" s="4">
        <f>INDEX(products!$A$1:$G$49, MATCH(orders!$D61,products!$A$1:$A$49,0), MATCH(K$1,products!$A$1:$G$1,0))</f>
        <v>0.5</v>
      </c>
      <c r="L61" s="5">
        <f>INDEX(products!$A$1:$G$49, MATCH(orders!$D61,products!$A$1:$A$49,0), MATCH(L$1,products!$A$1:$G$1,0))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 = 0, "", _xlfn.XLOOKUP(C62,customers!$A$1:$A$1001,customers!$C$1:$C$1001,,0))</f>
        <v>ccottingham1o@wikipedia.org</v>
      </c>
      <c r="H62" s="2" t="str">
        <f>_xlfn.XLOOKUP(C62,customers!$A$1:$A$1001,customers!$G$1:$G$1001,,0)</f>
        <v>United States</v>
      </c>
      <c r="I62" t="str">
        <f>INDEX(products!$A$1:$G$49, MATCH(orders!$D62,products!$A$1:$A$49,0), MATCH(I$1,products!$A$1:$G$1,0))</f>
        <v>Ara</v>
      </c>
      <c r="J62" t="str">
        <f>INDEX(products!$A$1:$G$49, MATCH(orders!$D62,products!$A$1:$A$49,0), MATCH(J$1,products!$A$1:$G$1,0))</f>
        <v>D</v>
      </c>
      <c r="K62" s="4">
        <f>INDEX(products!$A$1:$G$49, MATCH(orders!$D62,products!$A$1:$A$49,0), MATCH(K$1,products!$A$1:$G$1,0))</f>
        <v>2.5</v>
      </c>
      <c r="L62" s="5">
        <f>INDEX(products!$A$1:$G$49, MATCH(orders!$D62,products!$A$1:$A$49,0), MATCH(L$1,products!$A$1:$G$1,0))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 = 0, "", _xlfn.XLOOKUP(C63,customers!$A$1:$A$1001,customers!$C$1:$C$1001,,0))</f>
        <v/>
      </c>
      <c r="H63" s="2" t="str">
        <f>_xlfn.XLOOKUP(C63,customers!$A$1:$A$1001,customers!$G$1:$G$1001,,0)</f>
        <v>United Kingdom</v>
      </c>
      <c r="I63" t="str">
        <f>INDEX(products!$A$1:$G$49, MATCH(orders!$D63,products!$A$1:$A$49,0), MATCH(I$1,products!$A$1:$G$1,0))</f>
        <v>Rob</v>
      </c>
      <c r="J63" t="str">
        <f>INDEX(products!$A$1:$G$49, MATCH(orders!$D63,products!$A$1:$A$49,0), MATCH(J$1,products!$A$1:$G$1,0))</f>
        <v>D</v>
      </c>
      <c r="K63" s="4">
        <f>INDEX(products!$A$1:$G$49, MATCH(orders!$D63,products!$A$1:$A$49,0), MATCH(K$1,products!$A$1:$G$1,0))</f>
        <v>0.5</v>
      </c>
      <c r="L63" s="5">
        <f>INDEX(products!$A$1:$G$49, MATCH(orders!$D63,products!$A$1:$A$49,0), MATCH(L$1,products!$A$1:$G$1,0))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 = 0, "", _xlfn.XLOOKUP(C64,customers!$A$1:$A$1001,customers!$C$1:$C$1001,,0))</f>
        <v/>
      </c>
      <c r="H64" s="2" t="str">
        <f>_xlfn.XLOOKUP(C64,customers!$A$1:$A$1001,customers!$G$1:$G$1001,,0)</f>
        <v>United States</v>
      </c>
      <c r="I64" t="str">
        <f>INDEX(products!$A$1:$G$49, MATCH(orders!$D64,products!$A$1:$A$49,0), MATCH(I$1,products!$A$1:$G$1,0))</f>
        <v>Lib</v>
      </c>
      <c r="J64" t="str">
        <f>INDEX(products!$A$1:$G$49, MATCH(orders!$D64,products!$A$1:$A$49,0), MATCH(J$1,products!$A$1:$G$1,0))</f>
        <v>L</v>
      </c>
      <c r="K64" s="4">
        <f>INDEX(products!$A$1:$G$49, MATCH(orders!$D64,products!$A$1:$A$49,0), MATCH(K$1,products!$A$1:$G$1,0))</f>
        <v>0.2</v>
      </c>
      <c r="L64" s="5">
        <f>INDEX(products!$A$1:$G$49, MATCH(orders!$D64,products!$A$1:$A$49,0), MATCH(L$1,products!$A$1:$G$1,0))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 = 0, "", _xlfn.XLOOKUP(C65,customers!$A$1:$A$1001,customers!$C$1:$C$1001,,0))</f>
        <v>adykes1r@eventbrite.com</v>
      </c>
      <c r="H65" s="2" t="str">
        <f>_xlfn.XLOOKUP(C65,customers!$A$1:$A$1001,customers!$G$1:$G$1001,,0)</f>
        <v>United States</v>
      </c>
      <c r="I65" t="str">
        <f>INDEX(products!$A$1:$G$49, MATCH(orders!$D65,products!$A$1:$A$49,0), MATCH(I$1,products!$A$1:$G$1,0))</f>
        <v>Ara</v>
      </c>
      <c r="J65" t="str">
        <f>INDEX(products!$A$1:$G$49, MATCH(orders!$D65,products!$A$1:$A$49,0), MATCH(J$1,products!$A$1:$G$1,0))</f>
        <v>M</v>
      </c>
      <c r="K65" s="4">
        <f>INDEX(products!$A$1:$G$49, MATCH(orders!$D65,products!$A$1:$A$49,0), MATCH(K$1,products!$A$1:$G$1,0))</f>
        <v>0.5</v>
      </c>
      <c r="L65" s="5">
        <f>INDEX(products!$A$1:$G$49, MATCH(orders!$D65,products!$A$1:$A$49,0), MATCH(L$1,products!$A$1:$G$1,0))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 = 0, "", _xlfn.XLOOKUP(C66,customers!$A$1:$A$1001,customers!$C$1:$C$1001,,0))</f>
        <v/>
      </c>
      <c r="H66" s="2" t="str">
        <f>_xlfn.XLOOKUP(C66,customers!$A$1:$A$1001,customers!$G$1:$G$1001,,0)</f>
        <v>United States</v>
      </c>
      <c r="I66" t="str">
        <f>INDEX(products!$A$1:$G$49, MATCH(orders!$D66,products!$A$1:$A$49,0), MATCH(I$1,products!$A$1:$G$1,0))</f>
        <v>Rob</v>
      </c>
      <c r="J66" t="str">
        <f>INDEX(products!$A$1:$G$49, MATCH(orders!$D66,products!$A$1:$A$49,0), MATCH(J$1,products!$A$1:$G$1,0))</f>
        <v>M</v>
      </c>
      <c r="K66" s="4">
        <f>INDEX(products!$A$1:$G$49, MATCH(orders!$D66,products!$A$1:$A$49,0), MATCH(K$1,products!$A$1:$G$1,0))</f>
        <v>0.5</v>
      </c>
      <c r="L66" s="5">
        <f>INDEX(products!$A$1:$G$49, MATCH(orders!$D66,products!$A$1:$A$49,0), MATCH(L$1,products!$A$1:$G$1,0))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 = 0, "", _xlfn.XLOOKUP(C67,customers!$A$1:$A$1001,customers!$C$1:$C$1001,,0))</f>
        <v>acockrem1t@engadget.com</v>
      </c>
      <c r="H67" s="2" t="str">
        <f>_xlfn.XLOOKUP(C67,customers!$A$1:$A$1001,customers!$G$1:$G$1001,,0)</f>
        <v>United States</v>
      </c>
      <c r="I67" t="str">
        <f>INDEX(products!$A$1:$G$49, MATCH(orders!$D67,products!$A$1:$A$49,0), MATCH(I$1,products!$A$1:$G$1,0))</f>
        <v>Rob</v>
      </c>
      <c r="J67" t="str">
        <f>INDEX(products!$A$1:$G$49, MATCH(orders!$D67,products!$A$1:$A$49,0), MATCH(J$1,products!$A$1:$G$1,0))</f>
        <v>D</v>
      </c>
      <c r="K67" s="4">
        <f>INDEX(products!$A$1:$G$49, MATCH(orders!$D67,products!$A$1:$A$49,0), MATCH(K$1,products!$A$1:$G$1,0))</f>
        <v>2.5</v>
      </c>
      <c r="L67" s="5">
        <f>INDEX(products!$A$1:$G$49, MATCH(orders!$D67,products!$A$1:$A$49,0), MATCH(L$1,products!$A$1:$G$1,0))</f>
        <v>20.584999999999997</v>
      </c>
      <c r="M67" s="5">
        <f t="shared" ref="M67:M130" si="3">L67*E67</f>
        <v>82.339999999999989</v>
      </c>
      <c r="N67" t="str">
        <f t="shared" ref="N67:N130" si="4">IF(I67="Rob", "Robusta", IF(I67 = "Exc", "Excelsa", IF(I67 = "Ara", "Arabica", IF(I67 = "Lib", "Liberica", ""))))</f>
        <v>Robusta</v>
      </c>
      <c r="O67" t="str">
        <f t="shared" ref="O67:O130" si="5">IF(J67 = "M", "Medium", IF(J67 = "L", "Light", IF( J67 = "D", "Dark", "")))</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 = 0, "", _xlfn.XLOOKUP(C68,customers!$A$1:$A$1001,customers!$C$1:$C$1001,,0))</f>
        <v>bumpleby1u@soundcloud.com</v>
      </c>
      <c r="H68" s="2" t="str">
        <f>_xlfn.XLOOKUP(C68,customers!$A$1:$A$1001,customers!$G$1:$G$1001,,0)</f>
        <v>United States</v>
      </c>
      <c r="I68" t="str">
        <f>INDEX(products!$A$1:$G$49, MATCH(orders!$D68,products!$A$1:$A$49,0), MATCH(I$1,products!$A$1:$G$1,0))</f>
        <v>Rob</v>
      </c>
      <c r="J68" t="str">
        <f>INDEX(products!$A$1:$G$49, MATCH(orders!$D68,products!$A$1:$A$49,0), MATCH(J$1,products!$A$1:$G$1,0))</f>
        <v>L</v>
      </c>
      <c r="K68" s="4">
        <f>INDEX(products!$A$1:$G$49, MATCH(orders!$D68,products!$A$1:$A$49,0), MATCH(K$1,products!$A$1:$G$1,0))</f>
        <v>0.5</v>
      </c>
      <c r="L68" s="5">
        <f>INDEX(products!$A$1:$G$49, MATCH(orders!$D68,products!$A$1:$A$49,0), MATCH(L$1,products!$A$1:$G$1,0))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 = 0, "", _xlfn.XLOOKUP(C69,customers!$A$1:$A$1001,customers!$C$1:$C$1001,,0))</f>
        <v>nsaleway1v@dedecms.com</v>
      </c>
      <c r="H69" s="2" t="str">
        <f>_xlfn.XLOOKUP(C69,customers!$A$1:$A$1001,customers!$G$1:$G$1001,,0)</f>
        <v>United States</v>
      </c>
      <c r="I69" t="str">
        <f>INDEX(products!$A$1:$G$49, MATCH(orders!$D69,products!$A$1:$A$49,0), MATCH(I$1,products!$A$1:$G$1,0))</f>
        <v>Lib</v>
      </c>
      <c r="J69" t="str">
        <f>INDEX(products!$A$1:$G$49, MATCH(orders!$D69,products!$A$1:$A$49,0), MATCH(J$1,products!$A$1:$G$1,0))</f>
        <v>L</v>
      </c>
      <c r="K69" s="4">
        <f>INDEX(products!$A$1:$G$49, MATCH(orders!$D69,products!$A$1:$A$49,0), MATCH(K$1,products!$A$1:$G$1,0))</f>
        <v>0.2</v>
      </c>
      <c r="L69" s="5">
        <f>INDEX(products!$A$1:$G$49, MATCH(orders!$D69,products!$A$1:$A$49,0), MATCH(L$1,products!$A$1:$G$1,0))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 = 0, "", _xlfn.XLOOKUP(C70,customers!$A$1:$A$1001,customers!$C$1:$C$1001,,0))</f>
        <v>hgoulter1w@abc.net.au</v>
      </c>
      <c r="H70" s="2" t="str">
        <f>_xlfn.XLOOKUP(C70,customers!$A$1:$A$1001,customers!$G$1:$G$1001,,0)</f>
        <v>United States</v>
      </c>
      <c r="I70" t="str">
        <f>INDEX(products!$A$1:$G$49, MATCH(orders!$D70,products!$A$1:$A$49,0), MATCH(I$1,products!$A$1:$G$1,0))</f>
        <v>Rob</v>
      </c>
      <c r="J70" t="str">
        <f>INDEX(products!$A$1:$G$49, MATCH(orders!$D70,products!$A$1:$A$49,0), MATCH(J$1,products!$A$1:$G$1,0))</f>
        <v>M</v>
      </c>
      <c r="K70" s="4">
        <f>INDEX(products!$A$1:$G$49, MATCH(orders!$D70,products!$A$1:$A$49,0), MATCH(K$1,products!$A$1:$G$1,0))</f>
        <v>0.2</v>
      </c>
      <c r="L70" s="5">
        <f>INDEX(products!$A$1:$G$49, MATCH(orders!$D70,products!$A$1:$A$49,0), MATCH(L$1,products!$A$1:$G$1,0))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 = 0, "", _xlfn.XLOOKUP(C71,customers!$A$1:$A$1001,customers!$C$1:$C$1001,,0))</f>
        <v>grizzello1x@symantec.com</v>
      </c>
      <c r="H71" s="2" t="str">
        <f>_xlfn.XLOOKUP(C71,customers!$A$1:$A$1001,customers!$G$1:$G$1001,,0)</f>
        <v>United Kingdom</v>
      </c>
      <c r="I71" t="str">
        <f>INDEX(products!$A$1:$G$49, MATCH(orders!$D71,products!$A$1:$A$49,0), MATCH(I$1,products!$A$1:$G$1,0))</f>
        <v>Rob</v>
      </c>
      <c r="J71" t="str">
        <f>INDEX(products!$A$1:$G$49, MATCH(orders!$D71,products!$A$1:$A$49,0), MATCH(J$1,products!$A$1:$G$1,0))</f>
        <v>M</v>
      </c>
      <c r="K71" s="4">
        <f>INDEX(products!$A$1:$G$49, MATCH(orders!$D71,products!$A$1:$A$49,0), MATCH(K$1,products!$A$1:$G$1,0))</f>
        <v>1</v>
      </c>
      <c r="L71" s="5">
        <f>INDEX(products!$A$1:$G$49, MATCH(orders!$D71,products!$A$1:$A$49,0), MATCH(L$1,products!$A$1:$G$1,0))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 = 0, "", _xlfn.XLOOKUP(C72,customers!$A$1:$A$1001,customers!$C$1:$C$1001,,0))</f>
        <v>slist1y@mapquest.com</v>
      </c>
      <c r="H72" s="2" t="str">
        <f>_xlfn.XLOOKUP(C72,customers!$A$1:$A$1001,customers!$G$1:$G$1001,,0)</f>
        <v>United States</v>
      </c>
      <c r="I72" t="str">
        <f>INDEX(products!$A$1:$G$49, MATCH(orders!$D72,products!$A$1:$A$49,0), MATCH(I$1,products!$A$1:$G$1,0))</f>
        <v>Exc</v>
      </c>
      <c r="J72" t="str">
        <f>INDEX(products!$A$1:$G$49, MATCH(orders!$D72,products!$A$1:$A$49,0), MATCH(J$1,products!$A$1:$G$1,0))</f>
        <v>L</v>
      </c>
      <c r="K72" s="4">
        <f>INDEX(products!$A$1:$G$49, MATCH(orders!$D72,products!$A$1:$A$49,0), MATCH(K$1,products!$A$1:$G$1,0))</f>
        <v>2.5</v>
      </c>
      <c r="L72" s="5">
        <f>INDEX(products!$A$1:$G$49, MATCH(orders!$D72,products!$A$1:$A$49,0), MATCH(L$1,products!$A$1:$G$1,0))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 = 0, "", _xlfn.XLOOKUP(C73,customers!$A$1:$A$1001,customers!$C$1:$C$1001,,0))</f>
        <v>sedmondson1z@theguardian.com</v>
      </c>
      <c r="H73" s="2" t="str">
        <f>_xlfn.XLOOKUP(C73,customers!$A$1:$A$1001,customers!$G$1:$G$1001,,0)</f>
        <v>Ireland</v>
      </c>
      <c r="I73" t="str">
        <f>INDEX(products!$A$1:$G$49, MATCH(orders!$D73,products!$A$1:$A$49,0), MATCH(I$1,products!$A$1:$G$1,0))</f>
        <v>Lib</v>
      </c>
      <c r="J73" t="str">
        <f>INDEX(products!$A$1:$G$49, MATCH(orders!$D73,products!$A$1:$A$49,0), MATCH(J$1,products!$A$1:$G$1,0))</f>
        <v>L</v>
      </c>
      <c r="K73" s="4">
        <f>INDEX(products!$A$1:$G$49, MATCH(orders!$D73,products!$A$1:$A$49,0), MATCH(K$1,products!$A$1:$G$1,0))</f>
        <v>0.2</v>
      </c>
      <c r="L73" s="5">
        <f>INDEX(products!$A$1:$G$49, MATCH(orders!$D73,products!$A$1:$A$49,0), MATCH(L$1,products!$A$1:$G$1,0))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 = 0, "", _xlfn.XLOOKUP(C74,customers!$A$1:$A$1001,customers!$C$1:$C$1001,,0))</f>
        <v/>
      </c>
      <c r="H74" s="2" t="str">
        <f>_xlfn.XLOOKUP(C74,customers!$A$1:$A$1001,customers!$G$1:$G$1001,,0)</f>
        <v>United States</v>
      </c>
      <c r="I74" t="str">
        <f>INDEX(products!$A$1:$G$49, MATCH(orders!$D74,products!$A$1:$A$49,0), MATCH(I$1,products!$A$1:$G$1,0))</f>
        <v>Ara</v>
      </c>
      <c r="J74" t="str">
        <f>INDEX(products!$A$1:$G$49, MATCH(orders!$D74,products!$A$1:$A$49,0), MATCH(J$1,products!$A$1:$G$1,0))</f>
        <v>M</v>
      </c>
      <c r="K74" s="4">
        <f>INDEX(products!$A$1:$G$49, MATCH(orders!$D74,products!$A$1:$A$49,0), MATCH(K$1,products!$A$1:$G$1,0))</f>
        <v>2.5</v>
      </c>
      <c r="L74" s="5">
        <f>INDEX(products!$A$1:$G$49, MATCH(orders!$D74,products!$A$1:$A$49,0), MATCH(L$1,products!$A$1:$G$1,0))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 = 0, "", _xlfn.XLOOKUP(C75,customers!$A$1:$A$1001,customers!$C$1:$C$1001,,0))</f>
        <v/>
      </c>
      <c r="H75" s="2" t="str">
        <f>_xlfn.XLOOKUP(C75,customers!$A$1:$A$1001,customers!$G$1:$G$1001,,0)</f>
        <v>United States</v>
      </c>
      <c r="I75" t="str">
        <f>INDEX(products!$A$1:$G$49, MATCH(orders!$D75,products!$A$1:$A$49,0), MATCH(I$1,products!$A$1:$G$1,0))</f>
        <v>Lib</v>
      </c>
      <c r="J75" t="str">
        <f>INDEX(products!$A$1:$G$49, MATCH(orders!$D75,products!$A$1:$A$49,0), MATCH(J$1,products!$A$1:$G$1,0))</f>
        <v>M</v>
      </c>
      <c r="K75" s="4">
        <f>INDEX(products!$A$1:$G$49, MATCH(orders!$D75,products!$A$1:$A$49,0), MATCH(K$1,products!$A$1:$G$1,0))</f>
        <v>0.2</v>
      </c>
      <c r="L75" s="5">
        <f>INDEX(products!$A$1:$G$49, MATCH(orders!$D75,products!$A$1:$A$49,0), MATCH(L$1,products!$A$1:$G$1,0))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 = 0, "", _xlfn.XLOOKUP(C76,customers!$A$1:$A$1001,customers!$C$1:$C$1001,,0))</f>
        <v>jrangall22@newsvine.com</v>
      </c>
      <c r="H76" s="2" t="str">
        <f>_xlfn.XLOOKUP(C76,customers!$A$1:$A$1001,customers!$G$1:$G$1001,,0)</f>
        <v>United States</v>
      </c>
      <c r="I76" t="str">
        <f>INDEX(products!$A$1:$G$49, MATCH(orders!$D76,products!$A$1:$A$49,0), MATCH(I$1,products!$A$1:$G$1,0))</f>
        <v>Exc</v>
      </c>
      <c r="J76" t="str">
        <f>INDEX(products!$A$1:$G$49, MATCH(orders!$D76,products!$A$1:$A$49,0), MATCH(J$1,products!$A$1:$G$1,0))</f>
        <v>L</v>
      </c>
      <c r="K76" s="4">
        <f>INDEX(products!$A$1:$G$49, MATCH(orders!$D76,products!$A$1:$A$49,0), MATCH(K$1,products!$A$1:$G$1,0))</f>
        <v>0.5</v>
      </c>
      <c r="L76" s="5">
        <f>INDEX(products!$A$1:$G$49, MATCH(orders!$D76,products!$A$1:$A$49,0), MATCH(L$1,products!$A$1:$G$1,0))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 = 0, "", _xlfn.XLOOKUP(C77,customers!$A$1:$A$1001,customers!$C$1:$C$1001,,0))</f>
        <v>kboorn23@ezinearticles.com</v>
      </c>
      <c r="H77" s="2" t="str">
        <f>_xlfn.XLOOKUP(C77,customers!$A$1:$A$1001,customers!$G$1:$G$1001,,0)</f>
        <v>Ireland</v>
      </c>
      <c r="I77" t="str">
        <f>INDEX(products!$A$1:$G$49, MATCH(orders!$D77,products!$A$1:$A$49,0), MATCH(I$1,products!$A$1:$G$1,0))</f>
        <v>Rob</v>
      </c>
      <c r="J77" t="str">
        <f>INDEX(products!$A$1:$G$49, MATCH(orders!$D77,products!$A$1:$A$49,0), MATCH(J$1,products!$A$1:$G$1,0))</f>
        <v>D</v>
      </c>
      <c r="K77" s="4">
        <f>INDEX(products!$A$1:$G$49, MATCH(orders!$D77,products!$A$1:$A$49,0), MATCH(K$1,products!$A$1:$G$1,0))</f>
        <v>1</v>
      </c>
      <c r="L77" s="5">
        <f>INDEX(products!$A$1:$G$49, MATCH(orders!$D77,products!$A$1:$A$49,0), MATCH(L$1,products!$A$1:$G$1,0))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 = 0, "", _xlfn.XLOOKUP(C78,customers!$A$1:$A$1001,customers!$C$1:$C$1001,,0))</f>
        <v/>
      </c>
      <c r="H78" s="2" t="str">
        <f>_xlfn.XLOOKUP(C78,customers!$A$1:$A$1001,customers!$G$1:$G$1001,,0)</f>
        <v>Ireland</v>
      </c>
      <c r="I78" t="str">
        <f>INDEX(products!$A$1:$G$49, MATCH(orders!$D78,products!$A$1:$A$49,0), MATCH(I$1,products!$A$1:$G$1,0))</f>
        <v>Rob</v>
      </c>
      <c r="J78" t="str">
        <f>INDEX(products!$A$1:$G$49, MATCH(orders!$D78,products!$A$1:$A$49,0), MATCH(J$1,products!$A$1:$G$1,0))</f>
        <v>L</v>
      </c>
      <c r="K78" s="4">
        <f>INDEX(products!$A$1:$G$49, MATCH(orders!$D78,products!$A$1:$A$49,0), MATCH(K$1,products!$A$1:$G$1,0))</f>
        <v>0.2</v>
      </c>
      <c r="L78" s="5">
        <f>INDEX(products!$A$1:$G$49, MATCH(orders!$D78,products!$A$1:$A$49,0), MATCH(L$1,products!$A$1:$G$1,0))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 = 0, "", _xlfn.XLOOKUP(C79,customers!$A$1:$A$1001,customers!$C$1:$C$1001,,0))</f>
        <v>celgey25@webs.com</v>
      </c>
      <c r="H79" s="2" t="str">
        <f>_xlfn.XLOOKUP(C79,customers!$A$1:$A$1001,customers!$G$1:$G$1001,,0)</f>
        <v>United States</v>
      </c>
      <c r="I79" t="str">
        <f>INDEX(products!$A$1:$G$49, MATCH(orders!$D79,products!$A$1:$A$49,0), MATCH(I$1,products!$A$1:$G$1,0))</f>
        <v>Exc</v>
      </c>
      <c r="J79" t="str">
        <f>INDEX(products!$A$1:$G$49, MATCH(orders!$D79,products!$A$1:$A$49,0), MATCH(J$1,products!$A$1:$G$1,0))</f>
        <v>D</v>
      </c>
      <c r="K79" s="4">
        <f>INDEX(products!$A$1:$G$49, MATCH(orders!$D79,products!$A$1:$A$49,0), MATCH(K$1,products!$A$1:$G$1,0))</f>
        <v>0.2</v>
      </c>
      <c r="L79" s="5">
        <f>INDEX(products!$A$1:$G$49, MATCH(orders!$D79,products!$A$1:$A$49,0), MATCH(L$1,products!$A$1:$G$1,0))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 = 0, "", _xlfn.XLOOKUP(C80,customers!$A$1:$A$1001,customers!$C$1:$C$1001,,0))</f>
        <v>lmizzi26@rakuten.co.jp</v>
      </c>
      <c r="H80" s="2" t="str">
        <f>_xlfn.XLOOKUP(C80,customers!$A$1:$A$1001,customers!$G$1:$G$1001,,0)</f>
        <v>United States</v>
      </c>
      <c r="I80" t="str">
        <f>INDEX(products!$A$1:$G$49, MATCH(orders!$D80,products!$A$1:$A$49,0), MATCH(I$1,products!$A$1:$G$1,0))</f>
        <v>Ara</v>
      </c>
      <c r="J80" t="str">
        <f>INDEX(products!$A$1:$G$49, MATCH(orders!$D80,products!$A$1:$A$49,0), MATCH(J$1,products!$A$1:$G$1,0))</f>
        <v>M</v>
      </c>
      <c r="K80" s="4">
        <f>INDEX(products!$A$1:$G$49, MATCH(orders!$D80,products!$A$1:$A$49,0), MATCH(K$1,products!$A$1:$G$1,0))</f>
        <v>0.5</v>
      </c>
      <c r="L80" s="5">
        <f>INDEX(products!$A$1:$G$49, MATCH(orders!$D80,products!$A$1:$A$49,0), MATCH(L$1,products!$A$1:$G$1,0))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 = 0, "", _xlfn.XLOOKUP(C81,customers!$A$1:$A$1001,customers!$C$1:$C$1001,,0))</f>
        <v>cgiacomazzo27@jigsy.com</v>
      </c>
      <c r="H81" s="2" t="str">
        <f>_xlfn.XLOOKUP(C81,customers!$A$1:$A$1001,customers!$G$1:$G$1001,,0)</f>
        <v>United States</v>
      </c>
      <c r="I81" t="str">
        <f>INDEX(products!$A$1:$G$49, MATCH(orders!$D81,products!$A$1:$A$49,0), MATCH(I$1,products!$A$1:$G$1,0))</f>
        <v>Rob</v>
      </c>
      <c r="J81" t="str">
        <f>INDEX(products!$A$1:$G$49, MATCH(orders!$D81,products!$A$1:$A$49,0), MATCH(J$1,products!$A$1:$G$1,0))</f>
        <v>L</v>
      </c>
      <c r="K81" s="4">
        <f>INDEX(products!$A$1:$G$49, MATCH(orders!$D81,products!$A$1:$A$49,0), MATCH(K$1,products!$A$1:$G$1,0))</f>
        <v>1</v>
      </c>
      <c r="L81" s="5">
        <f>INDEX(products!$A$1:$G$49, MATCH(orders!$D81,products!$A$1:$A$49,0), MATCH(L$1,products!$A$1:$G$1,0))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 = 0, "", _xlfn.XLOOKUP(C82,customers!$A$1:$A$1001,customers!$C$1:$C$1001,,0))</f>
        <v>aarnow28@arizona.edu</v>
      </c>
      <c r="H82" s="2" t="str">
        <f>_xlfn.XLOOKUP(C82,customers!$A$1:$A$1001,customers!$G$1:$G$1001,,0)</f>
        <v>United States</v>
      </c>
      <c r="I82" t="str">
        <f>INDEX(products!$A$1:$G$49, MATCH(orders!$D82,products!$A$1:$A$49,0), MATCH(I$1,products!$A$1:$G$1,0))</f>
        <v>Ara</v>
      </c>
      <c r="J82" t="str">
        <f>INDEX(products!$A$1:$G$49, MATCH(orders!$D82,products!$A$1:$A$49,0), MATCH(J$1,products!$A$1:$G$1,0))</f>
        <v>L</v>
      </c>
      <c r="K82" s="4">
        <f>INDEX(products!$A$1:$G$49, MATCH(orders!$D82,products!$A$1:$A$49,0), MATCH(K$1,products!$A$1:$G$1,0))</f>
        <v>0.5</v>
      </c>
      <c r="L82" s="5">
        <f>INDEX(products!$A$1:$G$49, MATCH(orders!$D82,products!$A$1:$A$49,0), MATCH(L$1,products!$A$1:$G$1,0))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 = 0, "", _xlfn.XLOOKUP(C83,customers!$A$1:$A$1001,customers!$C$1:$C$1001,,0))</f>
        <v>syann29@senate.gov</v>
      </c>
      <c r="H83" s="2" t="str">
        <f>_xlfn.XLOOKUP(C83,customers!$A$1:$A$1001,customers!$G$1:$G$1001,,0)</f>
        <v>United States</v>
      </c>
      <c r="I83" t="str">
        <f>INDEX(products!$A$1:$G$49, MATCH(orders!$D83,products!$A$1:$A$49,0), MATCH(I$1,products!$A$1:$G$1,0))</f>
        <v>Lib</v>
      </c>
      <c r="J83" t="str">
        <f>INDEX(products!$A$1:$G$49, MATCH(orders!$D83,products!$A$1:$A$49,0), MATCH(J$1,products!$A$1:$G$1,0))</f>
        <v>L</v>
      </c>
      <c r="K83" s="4">
        <f>INDEX(products!$A$1:$G$49, MATCH(orders!$D83,products!$A$1:$A$49,0), MATCH(K$1,products!$A$1:$G$1,0))</f>
        <v>2.5</v>
      </c>
      <c r="L83" s="5">
        <f>INDEX(products!$A$1:$G$49, MATCH(orders!$D83,products!$A$1:$A$49,0), MATCH(L$1,products!$A$1:$G$1,0))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 = 0, "", _xlfn.XLOOKUP(C84,customers!$A$1:$A$1001,customers!$C$1:$C$1001,,0))</f>
        <v>bnaulls2a@tiny.cc</v>
      </c>
      <c r="H84" s="2" t="str">
        <f>_xlfn.XLOOKUP(C84,customers!$A$1:$A$1001,customers!$G$1:$G$1001,,0)</f>
        <v>Ireland</v>
      </c>
      <c r="I84" t="str">
        <f>INDEX(products!$A$1:$G$49, MATCH(orders!$D84,products!$A$1:$A$49,0), MATCH(I$1,products!$A$1:$G$1,0))</f>
        <v>Lib</v>
      </c>
      <c r="J84" t="str">
        <f>INDEX(products!$A$1:$G$49, MATCH(orders!$D84,products!$A$1:$A$49,0), MATCH(J$1,products!$A$1:$G$1,0))</f>
        <v>M</v>
      </c>
      <c r="K84" s="4">
        <f>INDEX(products!$A$1:$G$49, MATCH(orders!$D84,products!$A$1:$A$49,0), MATCH(K$1,products!$A$1:$G$1,0))</f>
        <v>2.5</v>
      </c>
      <c r="L84" s="5">
        <f>INDEX(products!$A$1:$G$49, MATCH(orders!$D84,products!$A$1:$A$49,0), MATCH(L$1,products!$A$1:$G$1,0))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 = 0, "", _xlfn.XLOOKUP(C85,customers!$A$1:$A$1001,customers!$C$1:$C$1001,,0))</f>
        <v/>
      </c>
      <c r="H85" s="2" t="str">
        <f>_xlfn.XLOOKUP(C85,customers!$A$1:$A$1001,customers!$G$1:$G$1001,,0)</f>
        <v>United States</v>
      </c>
      <c r="I85" t="str">
        <f>INDEX(products!$A$1:$G$49, MATCH(orders!$D85,products!$A$1:$A$49,0), MATCH(I$1,products!$A$1:$G$1,0))</f>
        <v>Rob</v>
      </c>
      <c r="J85" t="str">
        <f>INDEX(products!$A$1:$G$49, MATCH(orders!$D85,products!$A$1:$A$49,0), MATCH(J$1,products!$A$1:$G$1,0))</f>
        <v>D</v>
      </c>
      <c r="K85" s="4">
        <f>INDEX(products!$A$1:$G$49, MATCH(orders!$D85,products!$A$1:$A$49,0), MATCH(K$1,products!$A$1:$G$1,0))</f>
        <v>2.5</v>
      </c>
      <c r="L85" s="5">
        <f>INDEX(products!$A$1:$G$49, MATCH(orders!$D85,products!$A$1:$A$49,0), MATCH(L$1,products!$A$1:$G$1,0))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 = 0, "", _xlfn.XLOOKUP(C86,customers!$A$1:$A$1001,customers!$C$1:$C$1001,,0))</f>
        <v>zsherewood2c@apache.org</v>
      </c>
      <c r="H86" s="2" t="str">
        <f>_xlfn.XLOOKUP(C86,customers!$A$1:$A$1001,customers!$G$1:$G$1001,,0)</f>
        <v>United States</v>
      </c>
      <c r="I86" t="str">
        <f>INDEX(products!$A$1:$G$49, MATCH(orders!$D86,products!$A$1:$A$49,0), MATCH(I$1,products!$A$1:$G$1,0))</f>
        <v>Lib</v>
      </c>
      <c r="J86" t="str">
        <f>INDEX(products!$A$1:$G$49, MATCH(orders!$D86,products!$A$1:$A$49,0), MATCH(J$1,products!$A$1:$G$1,0))</f>
        <v>L</v>
      </c>
      <c r="K86" s="4">
        <f>INDEX(products!$A$1:$G$49, MATCH(orders!$D86,products!$A$1:$A$49,0), MATCH(K$1,products!$A$1:$G$1,0))</f>
        <v>0.5</v>
      </c>
      <c r="L86" s="5">
        <f>INDEX(products!$A$1:$G$49, MATCH(orders!$D86,products!$A$1:$A$49,0), MATCH(L$1,products!$A$1:$G$1,0))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 = 0, "", _xlfn.XLOOKUP(C87,customers!$A$1:$A$1001,customers!$C$1:$C$1001,,0))</f>
        <v>jdufaire2d@fc2.com</v>
      </c>
      <c r="H87" s="2" t="str">
        <f>_xlfn.XLOOKUP(C87,customers!$A$1:$A$1001,customers!$G$1:$G$1001,,0)</f>
        <v>United States</v>
      </c>
      <c r="I87" t="str">
        <f>INDEX(products!$A$1:$G$49, MATCH(orders!$D87,products!$A$1:$A$49,0), MATCH(I$1,products!$A$1:$G$1,0))</f>
        <v>Ara</v>
      </c>
      <c r="J87" t="str">
        <f>INDEX(products!$A$1:$G$49, MATCH(orders!$D87,products!$A$1:$A$49,0), MATCH(J$1,products!$A$1:$G$1,0))</f>
        <v>L</v>
      </c>
      <c r="K87" s="4">
        <f>INDEX(products!$A$1:$G$49, MATCH(orders!$D87,products!$A$1:$A$49,0), MATCH(K$1,products!$A$1:$G$1,0))</f>
        <v>2.5</v>
      </c>
      <c r="L87" s="5">
        <f>INDEX(products!$A$1:$G$49, MATCH(orders!$D87,products!$A$1:$A$49,0), MATCH(L$1,products!$A$1:$G$1,0))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 = 0, "", _xlfn.XLOOKUP(C88,customers!$A$1:$A$1001,customers!$C$1:$C$1001,,0))</f>
        <v>jdufaire2d@fc2.com</v>
      </c>
      <c r="H88" s="2" t="str">
        <f>_xlfn.XLOOKUP(C88,customers!$A$1:$A$1001,customers!$G$1:$G$1001,,0)</f>
        <v>United States</v>
      </c>
      <c r="I88" t="str">
        <f>INDEX(products!$A$1:$G$49, MATCH(orders!$D88,products!$A$1:$A$49,0), MATCH(I$1,products!$A$1:$G$1,0))</f>
        <v>Ara</v>
      </c>
      <c r="J88" t="str">
        <f>INDEX(products!$A$1:$G$49, MATCH(orders!$D88,products!$A$1:$A$49,0), MATCH(J$1,products!$A$1:$G$1,0))</f>
        <v>D</v>
      </c>
      <c r="K88" s="4">
        <f>INDEX(products!$A$1:$G$49, MATCH(orders!$D88,products!$A$1:$A$49,0), MATCH(K$1,products!$A$1:$G$1,0))</f>
        <v>0.2</v>
      </c>
      <c r="L88" s="5">
        <f>INDEX(products!$A$1:$G$49, MATCH(orders!$D88,products!$A$1:$A$49,0), MATCH(L$1,products!$A$1:$G$1,0))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 = 0, "", _xlfn.XLOOKUP(C89,customers!$A$1:$A$1001,customers!$C$1:$C$1001,,0))</f>
        <v>bkeaveney2f@netlog.com</v>
      </c>
      <c r="H89" s="2" t="str">
        <f>_xlfn.XLOOKUP(C89,customers!$A$1:$A$1001,customers!$G$1:$G$1001,,0)</f>
        <v>United States</v>
      </c>
      <c r="I89" t="str">
        <f>INDEX(products!$A$1:$G$49, MATCH(orders!$D89,products!$A$1:$A$49,0), MATCH(I$1,products!$A$1:$G$1,0))</f>
        <v>Ara</v>
      </c>
      <c r="J89" t="str">
        <f>INDEX(products!$A$1:$G$49, MATCH(orders!$D89,products!$A$1:$A$49,0), MATCH(J$1,products!$A$1:$G$1,0))</f>
        <v>M</v>
      </c>
      <c r="K89" s="4">
        <f>INDEX(products!$A$1:$G$49, MATCH(orders!$D89,products!$A$1:$A$49,0), MATCH(K$1,products!$A$1:$G$1,0))</f>
        <v>1</v>
      </c>
      <c r="L89" s="5">
        <f>INDEX(products!$A$1:$G$49, MATCH(orders!$D89,products!$A$1:$A$49,0), MATCH(L$1,products!$A$1:$G$1,0))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 = 0, "", _xlfn.XLOOKUP(C90,customers!$A$1:$A$1001,customers!$C$1:$C$1001,,0))</f>
        <v>egrise2g@cargocollective.com</v>
      </c>
      <c r="H90" s="2" t="str">
        <f>_xlfn.XLOOKUP(C90,customers!$A$1:$A$1001,customers!$G$1:$G$1001,,0)</f>
        <v>United States</v>
      </c>
      <c r="I90" t="str">
        <f>INDEX(products!$A$1:$G$49, MATCH(orders!$D90,products!$A$1:$A$49,0), MATCH(I$1,products!$A$1:$G$1,0))</f>
        <v>Rob</v>
      </c>
      <c r="J90" t="str">
        <f>INDEX(products!$A$1:$G$49, MATCH(orders!$D90,products!$A$1:$A$49,0), MATCH(J$1,products!$A$1:$G$1,0))</f>
        <v>L</v>
      </c>
      <c r="K90" s="4">
        <f>INDEX(products!$A$1:$G$49, MATCH(orders!$D90,products!$A$1:$A$49,0), MATCH(K$1,products!$A$1:$G$1,0))</f>
        <v>1</v>
      </c>
      <c r="L90" s="5">
        <f>INDEX(products!$A$1:$G$49, MATCH(orders!$D90,products!$A$1:$A$49,0), MATCH(L$1,products!$A$1:$G$1,0))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 = 0, "", _xlfn.XLOOKUP(C91,customers!$A$1:$A$1001,customers!$C$1:$C$1001,,0))</f>
        <v>tgottelier2h@vistaprint.com</v>
      </c>
      <c r="H91" s="2" t="str">
        <f>_xlfn.XLOOKUP(C91,customers!$A$1:$A$1001,customers!$G$1:$G$1001,,0)</f>
        <v>United States</v>
      </c>
      <c r="I91" t="str">
        <f>INDEX(products!$A$1:$G$49, MATCH(orders!$D91,products!$A$1:$A$49,0), MATCH(I$1,products!$A$1:$G$1,0))</f>
        <v>Ara</v>
      </c>
      <c r="J91" t="str">
        <f>INDEX(products!$A$1:$G$49, MATCH(orders!$D91,products!$A$1:$A$49,0), MATCH(J$1,products!$A$1:$G$1,0))</f>
        <v>L</v>
      </c>
      <c r="K91" s="4">
        <f>INDEX(products!$A$1:$G$49, MATCH(orders!$D91,products!$A$1:$A$49,0), MATCH(K$1,products!$A$1:$G$1,0))</f>
        <v>1</v>
      </c>
      <c r="L91" s="5">
        <f>INDEX(products!$A$1:$G$49, MATCH(orders!$D91,products!$A$1:$A$49,0), MATCH(L$1,products!$A$1:$G$1,0))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 = 0, "", _xlfn.XLOOKUP(C92,customers!$A$1:$A$1001,customers!$C$1:$C$1001,,0))</f>
        <v/>
      </c>
      <c r="H92" s="2" t="str">
        <f>_xlfn.XLOOKUP(C92,customers!$A$1:$A$1001,customers!$G$1:$G$1001,,0)</f>
        <v>Ireland</v>
      </c>
      <c r="I92" t="str">
        <f>INDEX(products!$A$1:$G$49, MATCH(orders!$D92,products!$A$1:$A$49,0), MATCH(I$1,products!$A$1:$G$1,0))</f>
        <v>Ara</v>
      </c>
      <c r="J92" t="str">
        <f>INDEX(products!$A$1:$G$49, MATCH(orders!$D92,products!$A$1:$A$49,0), MATCH(J$1,products!$A$1:$G$1,0))</f>
        <v>L</v>
      </c>
      <c r="K92" s="4">
        <f>INDEX(products!$A$1:$G$49, MATCH(orders!$D92,products!$A$1:$A$49,0), MATCH(K$1,products!$A$1:$G$1,0))</f>
        <v>1</v>
      </c>
      <c r="L92" s="5">
        <f>INDEX(products!$A$1:$G$49, MATCH(orders!$D92,products!$A$1:$A$49,0), MATCH(L$1,products!$A$1:$G$1,0))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 = 0, "", _xlfn.XLOOKUP(C93,customers!$A$1:$A$1001,customers!$C$1:$C$1001,,0))</f>
        <v>agreenhead2j@dailymail.co.uk</v>
      </c>
      <c r="H93" s="2" t="str">
        <f>_xlfn.XLOOKUP(C93,customers!$A$1:$A$1001,customers!$G$1:$G$1001,,0)</f>
        <v>United States</v>
      </c>
      <c r="I93" t="str">
        <f>INDEX(products!$A$1:$G$49, MATCH(orders!$D93,products!$A$1:$A$49,0), MATCH(I$1,products!$A$1:$G$1,0))</f>
        <v>Ara</v>
      </c>
      <c r="J93" t="str">
        <f>INDEX(products!$A$1:$G$49, MATCH(orders!$D93,products!$A$1:$A$49,0), MATCH(J$1,products!$A$1:$G$1,0))</f>
        <v>M</v>
      </c>
      <c r="K93" s="4">
        <f>INDEX(products!$A$1:$G$49, MATCH(orders!$D93,products!$A$1:$A$49,0), MATCH(K$1,products!$A$1:$G$1,0))</f>
        <v>2.5</v>
      </c>
      <c r="L93" s="5">
        <f>INDEX(products!$A$1:$G$49, MATCH(orders!$D93,products!$A$1:$A$49,0), MATCH(L$1,products!$A$1:$G$1,0))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 = 0, "", _xlfn.XLOOKUP(C94,customers!$A$1:$A$1001,customers!$C$1:$C$1001,,0))</f>
        <v/>
      </c>
      <c r="H94" s="2" t="str">
        <f>_xlfn.XLOOKUP(C94,customers!$A$1:$A$1001,customers!$G$1:$G$1001,,0)</f>
        <v>United States</v>
      </c>
      <c r="I94" t="str">
        <f>INDEX(products!$A$1:$G$49, MATCH(orders!$D94,products!$A$1:$A$49,0), MATCH(I$1,products!$A$1:$G$1,0))</f>
        <v>Exc</v>
      </c>
      <c r="J94" t="str">
        <f>INDEX(products!$A$1:$G$49, MATCH(orders!$D94,products!$A$1:$A$49,0), MATCH(J$1,products!$A$1:$G$1,0))</f>
        <v>L</v>
      </c>
      <c r="K94" s="4">
        <f>INDEX(products!$A$1:$G$49, MATCH(orders!$D94,products!$A$1:$A$49,0), MATCH(K$1,products!$A$1:$G$1,0))</f>
        <v>1</v>
      </c>
      <c r="L94" s="5">
        <f>INDEX(products!$A$1:$G$49, MATCH(orders!$D94,products!$A$1:$A$49,0), MATCH(L$1,products!$A$1:$G$1,0))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 = 0, "", _xlfn.XLOOKUP(C95,customers!$A$1:$A$1001,customers!$C$1:$C$1001,,0))</f>
        <v>elangcaster2l@spotify.com</v>
      </c>
      <c r="H95" s="2" t="str">
        <f>_xlfn.XLOOKUP(C95,customers!$A$1:$A$1001,customers!$G$1:$G$1001,,0)</f>
        <v>United Kingdom</v>
      </c>
      <c r="I95" t="str">
        <f>INDEX(products!$A$1:$G$49, MATCH(orders!$D95,products!$A$1:$A$49,0), MATCH(I$1,products!$A$1:$G$1,0))</f>
        <v>Exc</v>
      </c>
      <c r="J95" t="str">
        <f>INDEX(products!$A$1:$G$49, MATCH(orders!$D95,products!$A$1:$A$49,0), MATCH(J$1,products!$A$1:$G$1,0))</f>
        <v>L</v>
      </c>
      <c r="K95" s="4">
        <f>INDEX(products!$A$1:$G$49, MATCH(orders!$D95,products!$A$1:$A$49,0), MATCH(K$1,products!$A$1:$G$1,0))</f>
        <v>0.5</v>
      </c>
      <c r="L95" s="5">
        <f>INDEX(products!$A$1:$G$49, MATCH(orders!$D95,products!$A$1:$A$49,0), MATCH(L$1,products!$A$1:$G$1,0))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 = 0, "", _xlfn.XLOOKUP(C96,customers!$A$1:$A$1001,customers!$C$1:$C$1001,,0))</f>
        <v/>
      </c>
      <c r="H96" s="2" t="str">
        <f>_xlfn.XLOOKUP(C96,customers!$A$1:$A$1001,customers!$G$1:$G$1001,,0)</f>
        <v>Ireland</v>
      </c>
      <c r="I96" t="str">
        <f>INDEX(products!$A$1:$G$49, MATCH(orders!$D96,products!$A$1:$A$49,0), MATCH(I$1,products!$A$1:$G$1,0))</f>
        <v>Ara</v>
      </c>
      <c r="J96" t="str">
        <f>INDEX(products!$A$1:$G$49, MATCH(orders!$D96,products!$A$1:$A$49,0), MATCH(J$1,products!$A$1:$G$1,0))</f>
        <v>D</v>
      </c>
      <c r="K96" s="4">
        <f>INDEX(products!$A$1:$G$49, MATCH(orders!$D96,products!$A$1:$A$49,0), MATCH(K$1,products!$A$1:$G$1,0))</f>
        <v>0.2</v>
      </c>
      <c r="L96" s="5">
        <f>INDEX(products!$A$1:$G$49, MATCH(orders!$D96,products!$A$1:$A$49,0), MATCH(L$1,products!$A$1:$G$1,0))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 = 0, "", _xlfn.XLOOKUP(C97,customers!$A$1:$A$1001,customers!$C$1:$C$1001,,0))</f>
        <v>nmagauran2n@51.la</v>
      </c>
      <c r="H97" s="2" t="str">
        <f>_xlfn.XLOOKUP(C97,customers!$A$1:$A$1001,customers!$G$1:$G$1001,,0)</f>
        <v>United States</v>
      </c>
      <c r="I97" t="str">
        <f>INDEX(products!$A$1:$G$49, MATCH(orders!$D97,products!$A$1:$A$49,0), MATCH(I$1,products!$A$1:$G$1,0))</f>
        <v>Ara</v>
      </c>
      <c r="J97" t="str">
        <f>INDEX(products!$A$1:$G$49, MATCH(orders!$D97,products!$A$1:$A$49,0), MATCH(J$1,products!$A$1:$G$1,0))</f>
        <v>M</v>
      </c>
      <c r="K97" s="4">
        <f>INDEX(products!$A$1:$G$49, MATCH(orders!$D97,products!$A$1:$A$49,0), MATCH(K$1,products!$A$1:$G$1,0))</f>
        <v>2.5</v>
      </c>
      <c r="L97" s="5">
        <f>INDEX(products!$A$1:$G$49, MATCH(orders!$D97,products!$A$1:$A$49,0), MATCH(L$1,products!$A$1:$G$1,0))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 = 0, "", _xlfn.XLOOKUP(C98,customers!$A$1:$A$1001,customers!$C$1:$C$1001,,0))</f>
        <v>vkirdsch2o@google.fr</v>
      </c>
      <c r="H98" s="2" t="str">
        <f>_xlfn.XLOOKUP(C98,customers!$A$1:$A$1001,customers!$G$1:$G$1001,,0)</f>
        <v>United States</v>
      </c>
      <c r="I98" t="str">
        <f>INDEX(products!$A$1:$G$49, MATCH(orders!$D98,products!$A$1:$A$49,0), MATCH(I$1,products!$A$1:$G$1,0))</f>
        <v>Ara</v>
      </c>
      <c r="J98" t="str">
        <f>INDEX(products!$A$1:$G$49, MATCH(orders!$D98,products!$A$1:$A$49,0), MATCH(J$1,products!$A$1:$G$1,0))</f>
        <v>D</v>
      </c>
      <c r="K98" s="4">
        <f>INDEX(products!$A$1:$G$49, MATCH(orders!$D98,products!$A$1:$A$49,0), MATCH(K$1,products!$A$1:$G$1,0))</f>
        <v>0.2</v>
      </c>
      <c r="L98" s="5">
        <f>INDEX(products!$A$1:$G$49, MATCH(orders!$D98,products!$A$1:$A$49,0), MATCH(L$1,products!$A$1:$G$1,0))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 = 0, "", _xlfn.XLOOKUP(C99,customers!$A$1:$A$1001,customers!$C$1:$C$1001,,0))</f>
        <v>iwhapple2p@com.com</v>
      </c>
      <c r="H99" s="2" t="str">
        <f>_xlfn.XLOOKUP(C99,customers!$A$1:$A$1001,customers!$G$1:$G$1001,,0)</f>
        <v>United States</v>
      </c>
      <c r="I99" t="str">
        <f>INDEX(products!$A$1:$G$49, MATCH(orders!$D99,products!$A$1:$A$49,0), MATCH(I$1,products!$A$1:$G$1,0))</f>
        <v>Ara</v>
      </c>
      <c r="J99" t="str">
        <f>INDEX(products!$A$1:$G$49, MATCH(orders!$D99,products!$A$1:$A$49,0), MATCH(J$1,products!$A$1:$G$1,0))</f>
        <v>M</v>
      </c>
      <c r="K99" s="4">
        <f>INDEX(products!$A$1:$G$49, MATCH(orders!$D99,products!$A$1:$A$49,0), MATCH(K$1,products!$A$1:$G$1,0))</f>
        <v>0.5</v>
      </c>
      <c r="L99" s="5">
        <f>INDEX(products!$A$1:$G$49, MATCH(orders!$D99,products!$A$1:$A$49,0), MATCH(L$1,products!$A$1:$G$1,0))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 = 0, "", _xlfn.XLOOKUP(C100,customers!$A$1:$A$1001,customers!$C$1:$C$1001,,0))</f>
        <v/>
      </c>
      <c r="H100" s="2" t="str">
        <f>_xlfn.XLOOKUP(C100,customers!$A$1:$A$1001,customers!$G$1:$G$1001,,0)</f>
        <v>Ireland</v>
      </c>
      <c r="I100" t="str">
        <f>INDEX(products!$A$1:$G$49, MATCH(orders!$D100,products!$A$1:$A$49,0), MATCH(I$1,products!$A$1:$G$1,0))</f>
        <v>Ara</v>
      </c>
      <c r="J100" t="str">
        <f>INDEX(products!$A$1:$G$49, MATCH(orders!$D100,products!$A$1:$A$49,0), MATCH(J$1,products!$A$1:$G$1,0))</f>
        <v>D</v>
      </c>
      <c r="K100" s="4">
        <f>INDEX(products!$A$1:$G$49, MATCH(orders!$D100,products!$A$1:$A$49,0), MATCH(K$1,products!$A$1:$G$1,0))</f>
        <v>0.2</v>
      </c>
      <c r="L100" s="5">
        <f>INDEX(products!$A$1:$G$49, MATCH(orders!$D100,products!$A$1:$A$49,0), MATCH(L$1,products!$A$1:$G$1,0))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 = 0, "", _xlfn.XLOOKUP(C101,customers!$A$1:$A$1001,customers!$C$1:$C$1001,,0))</f>
        <v/>
      </c>
      <c r="H101" s="2" t="str">
        <f>_xlfn.XLOOKUP(C101,customers!$A$1:$A$1001,customers!$G$1:$G$1001,,0)</f>
        <v>United States</v>
      </c>
      <c r="I101" t="str">
        <f>INDEX(products!$A$1:$G$49, MATCH(orders!$D101,products!$A$1:$A$49,0), MATCH(I$1,products!$A$1:$G$1,0))</f>
        <v>Lib</v>
      </c>
      <c r="J101" t="str">
        <f>INDEX(products!$A$1:$G$49, MATCH(orders!$D101,products!$A$1:$A$49,0), MATCH(J$1,products!$A$1:$G$1,0))</f>
        <v>M</v>
      </c>
      <c r="K101" s="4">
        <f>INDEX(products!$A$1:$G$49, MATCH(orders!$D101,products!$A$1:$A$49,0), MATCH(K$1,products!$A$1:$G$1,0))</f>
        <v>0.2</v>
      </c>
      <c r="L101" s="5">
        <f>INDEX(products!$A$1:$G$49, MATCH(orders!$D101,products!$A$1:$A$49,0), MATCH(L$1,products!$A$1:$G$1,0))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 = 0, "", _xlfn.XLOOKUP(C102,customers!$A$1:$A$1001,customers!$C$1:$C$1001,,0))</f>
        <v/>
      </c>
      <c r="H102" s="2" t="str">
        <f>_xlfn.XLOOKUP(C102,customers!$A$1:$A$1001,customers!$G$1:$G$1001,,0)</f>
        <v>United States</v>
      </c>
      <c r="I102" t="str">
        <f>INDEX(products!$A$1:$G$49, MATCH(orders!$D102,products!$A$1:$A$49,0), MATCH(I$1,products!$A$1:$G$1,0))</f>
        <v>Ara</v>
      </c>
      <c r="J102" t="str">
        <f>INDEX(products!$A$1:$G$49, MATCH(orders!$D102,products!$A$1:$A$49,0), MATCH(J$1,products!$A$1:$G$1,0))</f>
        <v>L</v>
      </c>
      <c r="K102" s="4">
        <f>INDEX(products!$A$1:$G$49, MATCH(orders!$D102,products!$A$1:$A$49,0), MATCH(K$1,products!$A$1:$G$1,0))</f>
        <v>0.2</v>
      </c>
      <c r="L102" s="5">
        <f>INDEX(products!$A$1:$G$49, MATCH(orders!$D102,products!$A$1:$A$49,0), MATCH(L$1,products!$A$1:$G$1,0))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 = 0, "", _xlfn.XLOOKUP(C103,customers!$A$1:$A$1001,customers!$C$1:$C$1001,,0))</f>
        <v>nyoules2t@reference.com</v>
      </c>
      <c r="H103" s="2" t="str">
        <f>_xlfn.XLOOKUP(C103,customers!$A$1:$A$1001,customers!$G$1:$G$1001,,0)</f>
        <v>Ireland</v>
      </c>
      <c r="I103" t="str">
        <f>INDEX(products!$A$1:$G$49, MATCH(orders!$D103,products!$A$1:$A$49,0), MATCH(I$1,products!$A$1:$G$1,0))</f>
        <v>Lib</v>
      </c>
      <c r="J103" t="str">
        <f>INDEX(products!$A$1:$G$49, MATCH(orders!$D103,products!$A$1:$A$49,0), MATCH(J$1,products!$A$1:$G$1,0))</f>
        <v>D</v>
      </c>
      <c r="K103" s="4">
        <f>INDEX(products!$A$1:$G$49, MATCH(orders!$D103,products!$A$1:$A$49,0), MATCH(K$1,products!$A$1:$G$1,0))</f>
        <v>2.5</v>
      </c>
      <c r="L103" s="5">
        <f>INDEX(products!$A$1:$G$49, MATCH(orders!$D103,products!$A$1:$A$49,0), MATCH(L$1,products!$A$1:$G$1,0))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 = 0, "", _xlfn.XLOOKUP(C104,customers!$A$1:$A$1001,customers!$C$1:$C$1001,,0))</f>
        <v>daizikovitz2u@answers.com</v>
      </c>
      <c r="H104" s="2" t="str">
        <f>_xlfn.XLOOKUP(C104,customers!$A$1:$A$1001,customers!$G$1:$G$1001,,0)</f>
        <v>Ireland</v>
      </c>
      <c r="I104" t="str">
        <f>INDEX(products!$A$1:$G$49, MATCH(orders!$D104,products!$A$1:$A$49,0), MATCH(I$1,products!$A$1:$G$1,0))</f>
        <v>Lib</v>
      </c>
      <c r="J104" t="str">
        <f>INDEX(products!$A$1:$G$49, MATCH(orders!$D104,products!$A$1:$A$49,0), MATCH(J$1,products!$A$1:$G$1,0))</f>
        <v>D</v>
      </c>
      <c r="K104" s="4">
        <f>INDEX(products!$A$1:$G$49, MATCH(orders!$D104,products!$A$1:$A$49,0), MATCH(K$1,products!$A$1:$G$1,0))</f>
        <v>1</v>
      </c>
      <c r="L104" s="5">
        <f>INDEX(products!$A$1:$G$49, MATCH(orders!$D104,products!$A$1:$A$49,0), MATCH(L$1,products!$A$1:$G$1,0))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 = 0, "", _xlfn.XLOOKUP(C105,customers!$A$1:$A$1001,customers!$C$1:$C$1001,,0))</f>
        <v>brevel2v@fastcompany.com</v>
      </c>
      <c r="H105" s="2" t="str">
        <f>_xlfn.XLOOKUP(C105,customers!$A$1:$A$1001,customers!$G$1:$G$1001,,0)</f>
        <v>United States</v>
      </c>
      <c r="I105" t="str">
        <f>INDEX(products!$A$1:$G$49, MATCH(orders!$D105,products!$A$1:$A$49,0), MATCH(I$1,products!$A$1:$G$1,0))</f>
        <v>Rob</v>
      </c>
      <c r="J105" t="str">
        <f>INDEX(products!$A$1:$G$49, MATCH(orders!$D105,products!$A$1:$A$49,0), MATCH(J$1,products!$A$1:$G$1,0))</f>
        <v>M</v>
      </c>
      <c r="K105" s="4">
        <f>INDEX(products!$A$1:$G$49, MATCH(orders!$D105,products!$A$1:$A$49,0), MATCH(K$1,products!$A$1:$G$1,0))</f>
        <v>0.2</v>
      </c>
      <c r="L105" s="5">
        <f>INDEX(products!$A$1:$G$49, MATCH(orders!$D105,products!$A$1:$A$49,0), MATCH(L$1,products!$A$1:$G$1,0))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 = 0, "", _xlfn.XLOOKUP(C106,customers!$A$1:$A$1001,customers!$C$1:$C$1001,,0))</f>
        <v>epriddis2w@nationalgeographic.com</v>
      </c>
      <c r="H106" s="2" t="str">
        <f>_xlfn.XLOOKUP(C106,customers!$A$1:$A$1001,customers!$G$1:$G$1001,,0)</f>
        <v>United States</v>
      </c>
      <c r="I106" t="str">
        <f>INDEX(products!$A$1:$G$49, MATCH(orders!$D106,products!$A$1:$A$49,0), MATCH(I$1,products!$A$1:$G$1,0))</f>
        <v>Lib</v>
      </c>
      <c r="J106" t="str">
        <f>INDEX(products!$A$1:$G$49, MATCH(orders!$D106,products!$A$1:$A$49,0), MATCH(J$1,products!$A$1:$G$1,0))</f>
        <v>M</v>
      </c>
      <c r="K106" s="4">
        <f>INDEX(products!$A$1:$G$49, MATCH(orders!$D106,products!$A$1:$A$49,0), MATCH(K$1,products!$A$1:$G$1,0))</f>
        <v>1</v>
      </c>
      <c r="L106" s="5">
        <f>INDEX(products!$A$1:$G$49, MATCH(orders!$D106,products!$A$1:$A$49,0), MATCH(L$1,products!$A$1:$G$1,0))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 = 0, "", _xlfn.XLOOKUP(C107,customers!$A$1:$A$1001,customers!$C$1:$C$1001,,0))</f>
        <v>qveel2x@jugem.jp</v>
      </c>
      <c r="H107" s="2" t="str">
        <f>_xlfn.XLOOKUP(C107,customers!$A$1:$A$1001,customers!$G$1:$G$1001,,0)</f>
        <v>United States</v>
      </c>
      <c r="I107" t="str">
        <f>INDEX(products!$A$1:$G$49, MATCH(orders!$D107,products!$A$1:$A$49,0), MATCH(I$1,products!$A$1:$G$1,0))</f>
        <v>Ara</v>
      </c>
      <c r="J107" t="str">
        <f>INDEX(products!$A$1:$G$49, MATCH(orders!$D107,products!$A$1:$A$49,0), MATCH(J$1,products!$A$1:$G$1,0))</f>
        <v>M</v>
      </c>
      <c r="K107" s="4">
        <f>INDEX(products!$A$1:$G$49, MATCH(orders!$D107,products!$A$1:$A$49,0), MATCH(K$1,products!$A$1:$G$1,0))</f>
        <v>0.5</v>
      </c>
      <c r="L107" s="5">
        <f>INDEX(products!$A$1:$G$49, MATCH(orders!$D107,products!$A$1:$A$49,0), MATCH(L$1,products!$A$1:$G$1,0))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 = 0, "", _xlfn.XLOOKUP(C108,customers!$A$1:$A$1001,customers!$C$1:$C$1001,,0))</f>
        <v>lconyers2y@twitter.com</v>
      </c>
      <c r="H108" s="2" t="str">
        <f>_xlfn.XLOOKUP(C108,customers!$A$1:$A$1001,customers!$G$1:$G$1001,,0)</f>
        <v>United States</v>
      </c>
      <c r="I108" t="str">
        <f>INDEX(products!$A$1:$G$49, MATCH(orders!$D108,products!$A$1:$A$49,0), MATCH(I$1,products!$A$1:$G$1,0))</f>
        <v>Exc</v>
      </c>
      <c r="J108" t="str">
        <f>INDEX(products!$A$1:$G$49, MATCH(orders!$D108,products!$A$1:$A$49,0), MATCH(J$1,products!$A$1:$G$1,0))</f>
        <v>D</v>
      </c>
      <c r="K108" s="4">
        <f>INDEX(products!$A$1:$G$49, MATCH(orders!$D108,products!$A$1:$A$49,0), MATCH(K$1,products!$A$1:$G$1,0))</f>
        <v>1</v>
      </c>
      <c r="L108" s="5">
        <f>INDEX(products!$A$1:$G$49, MATCH(orders!$D108,products!$A$1:$A$49,0), MATCH(L$1,products!$A$1:$G$1,0))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 = 0, "", _xlfn.XLOOKUP(C109,customers!$A$1:$A$1001,customers!$C$1:$C$1001,,0))</f>
        <v>pwye2z@dagondesign.com</v>
      </c>
      <c r="H109" s="2" t="str">
        <f>_xlfn.XLOOKUP(C109,customers!$A$1:$A$1001,customers!$G$1:$G$1001,,0)</f>
        <v>United States</v>
      </c>
      <c r="I109" t="str">
        <f>INDEX(products!$A$1:$G$49, MATCH(orders!$D109,products!$A$1:$A$49,0), MATCH(I$1,products!$A$1:$G$1,0))</f>
        <v>Rob</v>
      </c>
      <c r="J109" t="str">
        <f>INDEX(products!$A$1:$G$49, MATCH(orders!$D109,products!$A$1:$A$49,0), MATCH(J$1,products!$A$1:$G$1,0))</f>
        <v>M</v>
      </c>
      <c r="K109" s="4">
        <f>INDEX(products!$A$1:$G$49, MATCH(orders!$D109,products!$A$1:$A$49,0), MATCH(K$1,products!$A$1:$G$1,0))</f>
        <v>0.5</v>
      </c>
      <c r="L109" s="5">
        <f>INDEX(products!$A$1:$G$49, MATCH(orders!$D109,products!$A$1:$A$49,0), MATCH(L$1,products!$A$1:$G$1,0))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 = 0, "", _xlfn.XLOOKUP(C110,customers!$A$1:$A$1001,customers!$C$1:$C$1001,,0))</f>
        <v/>
      </c>
      <c r="H110" s="2" t="str">
        <f>_xlfn.XLOOKUP(C110,customers!$A$1:$A$1001,customers!$G$1:$G$1001,,0)</f>
        <v>United States</v>
      </c>
      <c r="I110" t="str">
        <f>INDEX(products!$A$1:$G$49, MATCH(orders!$D110,products!$A$1:$A$49,0), MATCH(I$1,products!$A$1:$G$1,0))</f>
        <v>Ara</v>
      </c>
      <c r="J110" t="str">
        <f>INDEX(products!$A$1:$G$49, MATCH(orders!$D110,products!$A$1:$A$49,0), MATCH(J$1,products!$A$1:$G$1,0))</f>
        <v>M</v>
      </c>
      <c r="K110" s="4">
        <f>INDEX(products!$A$1:$G$49, MATCH(orders!$D110,products!$A$1:$A$49,0), MATCH(K$1,products!$A$1:$G$1,0))</f>
        <v>0.5</v>
      </c>
      <c r="L110" s="5">
        <f>INDEX(products!$A$1:$G$49, MATCH(orders!$D110,products!$A$1:$A$49,0), MATCH(L$1,products!$A$1:$G$1,0))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 = 0, "", _xlfn.XLOOKUP(C111,customers!$A$1:$A$1001,customers!$C$1:$C$1001,,0))</f>
        <v>tsheryn31@mtv.com</v>
      </c>
      <c r="H111" s="2" t="str">
        <f>_xlfn.XLOOKUP(C111,customers!$A$1:$A$1001,customers!$G$1:$G$1001,,0)</f>
        <v>United States</v>
      </c>
      <c r="I111" t="str">
        <f>INDEX(products!$A$1:$G$49, MATCH(orders!$D111,products!$A$1:$A$49,0), MATCH(I$1,products!$A$1:$G$1,0))</f>
        <v>Lib</v>
      </c>
      <c r="J111" t="str">
        <f>INDEX(products!$A$1:$G$49, MATCH(orders!$D111,products!$A$1:$A$49,0), MATCH(J$1,products!$A$1:$G$1,0))</f>
        <v>D</v>
      </c>
      <c r="K111" s="4">
        <f>INDEX(products!$A$1:$G$49, MATCH(orders!$D111,products!$A$1:$A$49,0), MATCH(K$1,products!$A$1:$G$1,0))</f>
        <v>0.5</v>
      </c>
      <c r="L111" s="5">
        <f>INDEX(products!$A$1:$G$49, MATCH(orders!$D111,products!$A$1:$A$49,0), MATCH(L$1,products!$A$1:$G$1,0))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 = 0, "", _xlfn.XLOOKUP(C112,customers!$A$1:$A$1001,customers!$C$1:$C$1001,,0))</f>
        <v>mredgrave32@cargocollective.com</v>
      </c>
      <c r="H112" s="2" t="str">
        <f>_xlfn.XLOOKUP(C112,customers!$A$1:$A$1001,customers!$G$1:$G$1001,,0)</f>
        <v>United States</v>
      </c>
      <c r="I112" t="str">
        <f>INDEX(products!$A$1:$G$49, MATCH(orders!$D112,products!$A$1:$A$49,0), MATCH(I$1,products!$A$1:$G$1,0))</f>
        <v>Exc</v>
      </c>
      <c r="J112" t="str">
        <f>INDEX(products!$A$1:$G$49, MATCH(orders!$D112,products!$A$1:$A$49,0), MATCH(J$1,products!$A$1:$G$1,0))</f>
        <v>L</v>
      </c>
      <c r="K112" s="4">
        <f>INDEX(products!$A$1:$G$49, MATCH(orders!$D112,products!$A$1:$A$49,0), MATCH(K$1,products!$A$1:$G$1,0))</f>
        <v>0.2</v>
      </c>
      <c r="L112" s="5">
        <f>INDEX(products!$A$1:$G$49, MATCH(orders!$D112,products!$A$1:$A$49,0), MATCH(L$1,products!$A$1:$G$1,0))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 = 0, "", _xlfn.XLOOKUP(C113,customers!$A$1:$A$1001,customers!$C$1:$C$1001,,0))</f>
        <v>bfominov33@yale.edu</v>
      </c>
      <c r="H113" s="2" t="str">
        <f>_xlfn.XLOOKUP(C113,customers!$A$1:$A$1001,customers!$G$1:$G$1001,,0)</f>
        <v>United States</v>
      </c>
      <c r="I113" t="str">
        <f>INDEX(products!$A$1:$G$49, MATCH(orders!$D113,products!$A$1:$A$49,0), MATCH(I$1,products!$A$1:$G$1,0))</f>
        <v>Rob</v>
      </c>
      <c r="J113" t="str">
        <f>INDEX(products!$A$1:$G$49, MATCH(orders!$D113,products!$A$1:$A$49,0), MATCH(J$1,products!$A$1:$G$1,0))</f>
        <v>D</v>
      </c>
      <c r="K113" s="4">
        <f>INDEX(products!$A$1:$G$49, MATCH(orders!$D113,products!$A$1:$A$49,0), MATCH(K$1,products!$A$1:$G$1,0))</f>
        <v>0.5</v>
      </c>
      <c r="L113" s="5">
        <f>INDEX(products!$A$1:$G$49, MATCH(orders!$D113,products!$A$1:$A$49,0), MATCH(L$1,products!$A$1:$G$1,0))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 = 0, "", _xlfn.XLOOKUP(C114,customers!$A$1:$A$1001,customers!$C$1:$C$1001,,0))</f>
        <v>scritchlow34@un.org</v>
      </c>
      <c r="H114" s="2" t="str">
        <f>_xlfn.XLOOKUP(C114,customers!$A$1:$A$1001,customers!$G$1:$G$1001,,0)</f>
        <v>United States</v>
      </c>
      <c r="I114" t="str">
        <f>INDEX(products!$A$1:$G$49, MATCH(orders!$D114,products!$A$1:$A$49,0), MATCH(I$1,products!$A$1:$G$1,0))</f>
        <v>Ara</v>
      </c>
      <c r="J114" t="str">
        <f>INDEX(products!$A$1:$G$49, MATCH(orders!$D114,products!$A$1:$A$49,0), MATCH(J$1,products!$A$1:$G$1,0))</f>
        <v>M</v>
      </c>
      <c r="K114" s="4">
        <f>INDEX(products!$A$1:$G$49, MATCH(orders!$D114,products!$A$1:$A$49,0), MATCH(K$1,products!$A$1:$G$1,0))</f>
        <v>1</v>
      </c>
      <c r="L114" s="5">
        <f>INDEX(products!$A$1:$G$49, MATCH(orders!$D114,products!$A$1:$A$49,0), MATCH(L$1,products!$A$1:$G$1,0))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 = 0, "", _xlfn.XLOOKUP(C115,customers!$A$1:$A$1001,customers!$C$1:$C$1001,,0))</f>
        <v>msteptow35@earthlink.net</v>
      </c>
      <c r="H115" s="2" t="str">
        <f>_xlfn.XLOOKUP(C115,customers!$A$1:$A$1001,customers!$G$1:$G$1001,,0)</f>
        <v>Ireland</v>
      </c>
      <c r="I115" t="str">
        <f>INDEX(products!$A$1:$G$49, MATCH(orders!$D115,products!$A$1:$A$49,0), MATCH(I$1,products!$A$1:$G$1,0))</f>
        <v>Lib</v>
      </c>
      <c r="J115" t="str">
        <f>INDEX(products!$A$1:$G$49, MATCH(orders!$D115,products!$A$1:$A$49,0), MATCH(J$1,products!$A$1:$G$1,0))</f>
        <v>M</v>
      </c>
      <c r="K115" s="4">
        <f>INDEX(products!$A$1:$G$49, MATCH(orders!$D115,products!$A$1:$A$49,0), MATCH(K$1,products!$A$1:$G$1,0))</f>
        <v>1</v>
      </c>
      <c r="L115" s="5">
        <f>INDEX(products!$A$1:$G$49, MATCH(orders!$D115,products!$A$1:$A$49,0), MATCH(L$1,products!$A$1:$G$1,0))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 = 0, "", _xlfn.XLOOKUP(C116,customers!$A$1:$A$1001,customers!$C$1:$C$1001,,0))</f>
        <v/>
      </c>
      <c r="H116" s="2" t="str">
        <f>_xlfn.XLOOKUP(C116,customers!$A$1:$A$1001,customers!$G$1:$G$1001,,0)</f>
        <v>United States</v>
      </c>
      <c r="I116" t="str">
        <f>INDEX(products!$A$1:$G$49, MATCH(orders!$D116,products!$A$1:$A$49,0), MATCH(I$1,products!$A$1:$G$1,0))</f>
        <v>Rob</v>
      </c>
      <c r="J116" t="str">
        <f>INDEX(products!$A$1:$G$49, MATCH(orders!$D116,products!$A$1:$A$49,0), MATCH(J$1,products!$A$1:$G$1,0))</f>
        <v>L</v>
      </c>
      <c r="K116" s="4">
        <f>INDEX(products!$A$1:$G$49, MATCH(orders!$D116,products!$A$1:$A$49,0), MATCH(K$1,products!$A$1:$G$1,0))</f>
        <v>0.2</v>
      </c>
      <c r="L116" s="5">
        <f>INDEX(products!$A$1:$G$49, MATCH(orders!$D116,products!$A$1:$A$49,0), MATCH(L$1,products!$A$1:$G$1,0))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 = 0, "", _xlfn.XLOOKUP(C117,customers!$A$1:$A$1001,customers!$C$1:$C$1001,,0))</f>
        <v>imulliner37@pinterest.com</v>
      </c>
      <c r="H117" s="2" t="str">
        <f>_xlfn.XLOOKUP(C117,customers!$A$1:$A$1001,customers!$G$1:$G$1001,,0)</f>
        <v>United Kingdom</v>
      </c>
      <c r="I117" t="str">
        <f>INDEX(products!$A$1:$G$49, MATCH(orders!$D117,products!$A$1:$A$49,0), MATCH(I$1,products!$A$1:$G$1,0))</f>
        <v>Lib</v>
      </c>
      <c r="J117" t="str">
        <f>INDEX(products!$A$1:$G$49, MATCH(orders!$D117,products!$A$1:$A$49,0), MATCH(J$1,products!$A$1:$G$1,0))</f>
        <v>L</v>
      </c>
      <c r="K117" s="4">
        <f>INDEX(products!$A$1:$G$49, MATCH(orders!$D117,products!$A$1:$A$49,0), MATCH(K$1,products!$A$1:$G$1,0))</f>
        <v>1</v>
      </c>
      <c r="L117" s="5">
        <f>INDEX(products!$A$1:$G$49, MATCH(orders!$D117,products!$A$1:$A$49,0), MATCH(L$1,products!$A$1:$G$1,0))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 = 0, "", _xlfn.XLOOKUP(C118,customers!$A$1:$A$1001,customers!$C$1:$C$1001,,0))</f>
        <v>gstandley38@dion.ne.jp</v>
      </c>
      <c r="H118" s="2" t="str">
        <f>_xlfn.XLOOKUP(C118,customers!$A$1:$A$1001,customers!$G$1:$G$1001,,0)</f>
        <v>Ireland</v>
      </c>
      <c r="I118" t="str">
        <f>INDEX(products!$A$1:$G$49, MATCH(orders!$D118,products!$A$1:$A$49,0), MATCH(I$1,products!$A$1:$G$1,0))</f>
        <v>Lib</v>
      </c>
      <c r="J118" t="str">
        <f>INDEX(products!$A$1:$G$49, MATCH(orders!$D118,products!$A$1:$A$49,0), MATCH(J$1,products!$A$1:$G$1,0))</f>
        <v>L</v>
      </c>
      <c r="K118" s="4">
        <f>INDEX(products!$A$1:$G$49, MATCH(orders!$D118,products!$A$1:$A$49,0), MATCH(K$1,products!$A$1:$G$1,0))</f>
        <v>0.2</v>
      </c>
      <c r="L118" s="5">
        <f>INDEX(products!$A$1:$G$49, MATCH(orders!$D118,products!$A$1:$A$49,0), MATCH(L$1,products!$A$1:$G$1,0))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 = 0, "", _xlfn.XLOOKUP(C119,customers!$A$1:$A$1001,customers!$C$1:$C$1001,,0))</f>
        <v>bdrage39@youku.com</v>
      </c>
      <c r="H119" s="2" t="str">
        <f>_xlfn.XLOOKUP(C119,customers!$A$1:$A$1001,customers!$G$1:$G$1001,,0)</f>
        <v>United States</v>
      </c>
      <c r="I119" t="str">
        <f>INDEX(products!$A$1:$G$49, MATCH(orders!$D119,products!$A$1:$A$49,0), MATCH(I$1,products!$A$1:$G$1,0))</f>
        <v>Lib</v>
      </c>
      <c r="J119" t="str">
        <f>INDEX(products!$A$1:$G$49, MATCH(orders!$D119,products!$A$1:$A$49,0), MATCH(J$1,products!$A$1:$G$1,0))</f>
        <v>L</v>
      </c>
      <c r="K119" s="4">
        <f>INDEX(products!$A$1:$G$49, MATCH(orders!$D119,products!$A$1:$A$49,0), MATCH(K$1,products!$A$1:$G$1,0))</f>
        <v>0.5</v>
      </c>
      <c r="L119" s="5">
        <f>INDEX(products!$A$1:$G$49, MATCH(orders!$D119,products!$A$1:$A$49,0), MATCH(L$1,products!$A$1:$G$1,0))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 = 0, "", _xlfn.XLOOKUP(C120,customers!$A$1:$A$1001,customers!$C$1:$C$1001,,0))</f>
        <v>myallop3a@fema.gov</v>
      </c>
      <c r="H120" s="2" t="str">
        <f>_xlfn.XLOOKUP(C120,customers!$A$1:$A$1001,customers!$G$1:$G$1001,,0)</f>
        <v>United States</v>
      </c>
      <c r="I120" t="str">
        <f>INDEX(products!$A$1:$G$49, MATCH(orders!$D120,products!$A$1:$A$49,0), MATCH(I$1,products!$A$1:$G$1,0))</f>
        <v>Exc</v>
      </c>
      <c r="J120" t="str">
        <f>INDEX(products!$A$1:$G$49, MATCH(orders!$D120,products!$A$1:$A$49,0), MATCH(J$1,products!$A$1:$G$1,0))</f>
        <v>D</v>
      </c>
      <c r="K120" s="4">
        <f>INDEX(products!$A$1:$G$49, MATCH(orders!$D120,products!$A$1:$A$49,0), MATCH(K$1,products!$A$1:$G$1,0))</f>
        <v>0.5</v>
      </c>
      <c r="L120" s="5">
        <f>INDEX(products!$A$1:$G$49, MATCH(orders!$D120,products!$A$1:$A$49,0), MATCH(L$1,products!$A$1:$G$1,0))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 = 0, "", _xlfn.XLOOKUP(C121,customers!$A$1:$A$1001,customers!$C$1:$C$1001,,0))</f>
        <v>cswitsur3b@chronoengine.com</v>
      </c>
      <c r="H121" s="2" t="str">
        <f>_xlfn.XLOOKUP(C121,customers!$A$1:$A$1001,customers!$G$1:$G$1001,,0)</f>
        <v>United States</v>
      </c>
      <c r="I121" t="str">
        <f>INDEX(products!$A$1:$G$49, MATCH(orders!$D121,products!$A$1:$A$49,0), MATCH(I$1,products!$A$1:$G$1,0))</f>
        <v>Exc</v>
      </c>
      <c r="J121" t="str">
        <f>INDEX(products!$A$1:$G$49, MATCH(orders!$D121,products!$A$1:$A$49,0), MATCH(J$1,products!$A$1:$G$1,0))</f>
        <v>M</v>
      </c>
      <c r="K121" s="4">
        <f>INDEX(products!$A$1:$G$49, MATCH(orders!$D121,products!$A$1:$A$49,0), MATCH(K$1,products!$A$1:$G$1,0))</f>
        <v>0.2</v>
      </c>
      <c r="L121" s="5">
        <f>INDEX(products!$A$1:$G$49, MATCH(orders!$D121,products!$A$1:$A$49,0), MATCH(L$1,products!$A$1:$G$1,0))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 = 0, "", _xlfn.XLOOKUP(C122,customers!$A$1:$A$1001,customers!$C$1:$C$1001,,0))</f>
        <v>cswitsur3b@chronoengine.com</v>
      </c>
      <c r="H122" s="2" t="str">
        <f>_xlfn.XLOOKUP(C122,customers!$A$1:$A$1001,customers!$G$1:$G$1001,,0)</f>
        <v>United States</v>
      </c>
      <c r="I122" t="str">
        <f>INDEX(products!$A$1:$G$49, MATCH(orders!$D122,products!$A$1:$A$49,0), MATCH(I$1,products!$A$1:$G$1,0))</f>
        <v>Ara</v>
      </c>
      <c r="J122" t="str">
        <f>INDEX(products!$A$1:$G$49, MATCH(orders!$D122,products!$A$1:$A$49,0), MATCH(J$1,products!$A$1:$G$1,0))</f>
        <v>L</v>
      </c>
      <c r="K122" s="4">
        <f>INDEX(products!$A$1:$G$49, MATCH(orders!$D122,products!$A$1:$A$49,0), MATCH(K$1,products!$A$1:$G$1,0))</f>
        <v>0.2</v>
      </c>
      <c r="L122" s="5">
        <f>INDEX(products!$A$1:$G$49, MATCH(orders!$D122,products!$A$1:$A$49,0), MATCH(L$1,products!$A$1:$G$1,0))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 = 0, "", _xlfn.XLOOKUP(C123,customers!$A$1:$A$1001,customers!$C$1:$C$1001,,0))</f>
        <v>cswitsur3b@chronoengine.com</v>
      </c>
      <c r="H123" s="2" t="str">
        <f>_xlfn.XLOOKUP(C123,customers!$A$1:$A$1001,customers!$G$1:$G$1001,,0)</f>
        <v>United States</v>
      </c>
      <c r="I123" t="str">
        <f>INDEX(products!$A$1:$G$49, MATCH(orders!$D123,products!$A$1:$A$49,0), MATCH(I$1,products!$A$1:$G$1,0))</f>
        <v>Exc</v>
      </c>
      <c r="J123" t="str">
        <f>INDEX(products!$A$1:$G$49, MATCH(orders!$D123,products!$A$1:$A$49,0), MATCH(J$1,products!$A$1:$G$1,0))</f>
        <v>M</v>
      </c>
      <c r="K123" s="4">
        <f>INDEX(products!$A$1:$G$49, MATCH(orders!$D123,products!$A$1:$A$49,0), MATCH(K$1,products!$A$1:$G$1,0))</f>
        <v>1</v>
      </c>
      <c r="L123" s="5">
        <f>INDEX(products!$A$1:$G$49, MATCH(orders!$D123,products!$A$1:$A$49,0), MATCH(L$1,products!$A$1:$G$1,0))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 = 0, "", _xlfn.XLOOKUP(C124,customers!$A$1:$A$1001,customers!$C$1:$C$1001,,0))</f>
        <v>mludwell3e@blogger.com</v>
      </c>
      <c r="H124" s="2" t="str">
        <f>_xlfn.XLOOKUP(C124,customers!$A$1:$A$1001,customers!$G$1:$G$1001,,0)</f>
        <v>United States</v>
      </c>
      <c r="I124" t="str">
        <f>INDEX(products!$A$1:$G$49, MATCH(orders!$D124,products!$A$1:$A$49,0), MATCH(I$1,products!$A$1:$G$1,0))</f>
        <v>Ara</v>
      </c>
      <c r="J124" t="str">
        <f>INDEX(products!$A$1:$G$49, MATCH(orders!$D124,products!$A$1:$A$49,0), MATCH(J$1,products!$A$1:$G$1,0))</f>
        <v>D</v>
      </c>
      <c r="K124" s="4">
        <f>INDEX(products!$A$1:$G$49, MATCH(orders!$D124,products!$A$1:$A$49,0), MATCH(K$1,products!$A$1:$G$1,0))</f>
        <v>0.5</v>
      </c>
      <c r="L124" s="5">
        <f>INDEX(products!$A$1:$G$49, MATCH(orders!$D124,products!$A$1:$A$49,0), MATCH(L$1,products!$A$1:$G$1,0))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 = 0, "", _xlfn.XLOOKUP(C125,customers!$A$1:$A$1001,customers!$C$1:$C$1001,,0))</f>
        <v>dbeauchamp3f@usda.gov</v>
      </c>
      <c r="H125" s="2" t="str">
        <f>_xlfn.XLOOKUP(C125,customers!$A$1:$A$1001,customers!$G$1:$G$1001,,0)</f>
        <v>United States</v>
      </c>
      <c r="I125" t="str">
        <f>INDEX(products!$A$1:$G$49, MATCH(orders!$D125,products!$A$1:$A$49,0), MATCH(I$1,products!$A$1:$G$1,0))</f>
        <v>Lib</v>
      </c>
      <c r="J125" t="str">
        <f>INDEX(products!$A$1:$G$49, MATCH(orders!$D125,products!$A$1:$A$49,0), MATCH(J$1,products!$A$1:$G$1,0))</f>
        <v>L</v>
      </c>
      <c r="K125" s="4">
        <f>INDEX(products!$A$1:$G$49, MATCH(orders!$D125,products!$A$1:$A$49,0), MATCH(K$1,products!$A$1:$G$1,0))</f>
        <v>2.5</v>
      </c>
      <c r="L125" s="5">
        <f>INDEX(products!$A$1:$G$49, MATCH(orders!$D125,products!$A$1:$A$49,0), MATCH(L$1,products!$A$1:$G$1,0))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 = 0, "", _xlfn.XLOOKUP(C126,customers!$A$1:$A$1001,customers!$C$1:$C$1001,,0))</f>
        <v>srodliff3g@ted.com</v>
      </c>
      <c r="H126" s="2" t="str">
        <f>_xlfn.XLOOKUP(C126,customers!$A$1:$A$1001,customers!$G$1:$G$1001,,0)</f>
        <v>United States</v>
      </c>
      <c r="I126" t="str">
        <f>INDEX(products!$A$1:$G$49, MATCH(orders!$D126,products!$A$1:$A$49,0), MATCH(I$1,products!$A$1:$G$1,0))</f>
        <v>Lib</v>
      </c>
      <c r="J126" t="str">
        <f>INDEX(products!$A$1:$G$49, MATCH(orders!$D126,products!$A$1:$A$49,0), MATCH(J$1,products!$A$1:$G$1,0))</f>
        <v>M</v>
      </c>
      <c r="K126" s="4">
        <f>INDEX(products!$A$1:$G$49, MATCH(orders!$D126,products!$A$1:$A$49,0), MATCH(K$1,products!$A$1:$G$1,0))</f>
        <v>0.2</v>
      </c>
      <c r="L126" s="5">
        <f>INDEX(products!$A$1:$G$49, MATCH(orders!$D126,products!$A$1:$A$49,0), MATCH(L$1,products!$A$1:$G$1,0))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 = 0, "", _xlfn.XLOOKUP(C127,customers!$A$1:$A$1001,customers!$C$1:$C$1001,,0))</f>
        <v>swoodham3h@businesswire.com</v>
      </c>
      <c r="H127" s="2" t="str">
        <f>_xlfn.XLOOKUP(C127,customers!$A$1:$A$1001,customers!$G$1:$G$1001,,0)</f>
        <v>Ireland</v>
      </c>
      <c r="I127" t="str">
        <f>INDEX(products!$A$1:$G$49, MATCH(orders!$D127,products!$A$1:$A$49,0), MATCH(I$1,products!$A$1:$G$1,0))</f>
        <v>Lib</v>
      </c>
      <c r="J127" t="str">
        <f>INDEX(products!$A$1:$G$49, MATCH(orders!$D127,products!$A$1:$A$49,0), MATCH(J$1,products!$A$1:$G$1,0))</f>
        <v>M</v>
      </c>
      <c r="K127" s="4">
        <f>INDEX(products!$A$1:$G$49, MATCH(orders!$D127,products!$A$1:$A$49,0), MATCH(K$1,products!$A$1:$G$1,0))</f>
        <v>0.5</v>
      </c>
      <c r="L127" s="5">
        <f>INDEX(products!$A$1:$G$49, MATCH(orders!$D127,products!$A$1:$A$49,0), MATCH(L$1,products!$A$1:$G$1,0))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 = 0, "", _xlfn.XLOOKUP(C128,customers!$A$1:$A$1001,customers!$C$1:$C$1001,,0))</f>
        <v>hsynnot3i@about.com</v>
      </c>
      <c r="H128" s="2" t="str">
        <f>_xlfn.XLOOKUP(C128,customers!$A$1:$A$1001,customers!$G$1:$G$1001,,0)</f>
        <v>United States</v>
      </c>
      <c r="I128" t="str">
        <f>INDEX(products!$A$1:$G$49, MATCH(orders!$D128,products!$A$1:$A$49,0), MATCH(I$1,products!$A$1:$G$1,0))</f>
        <v>Ara</v>
      </c>
      <c r="J128" t="str">
        <f>INDEX(products!$A$1:$G$49, MATCH(orders!$D128,products!$A$1:$A$49,0), MATCH(J$1,products!$A$1:$G$1,0))</f>
        <v>M</v>
      </c>
      <c r="K128" s="4">
        <f>INDEX(products!$A$1:$G$49, MATCH(orders!$D128,products!$A$1:$A$49,0), MATCH(K$1,products!$A$1:$G$1,0))</f>
        <v>1</v>
      </c>
      <c r="L128" s="5">
        <f>INDEX(products!$A$1:$G$49, MATCH(orders!$D128,products!$A$1:$A$49,0), MATCH(L$1,products!$A$1:$G$1,0))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 = 0, "", _xlfn.XLOOKUP(C129,customers!$A$1:$A$1001,customers!$C$1:$C$1001,,0))</f>
        <v>rlepere3j@shop-pro.jp</v>
      </c>
      <c r="H129" s="2" t="str">
        <f>_xlfn.XLOOKUP(C129,customers!$A$1:$A$1001,customers!$G$1:$G$1001,,0)</f>
        <v>Ireland</v>
      </c>
      <c r="I129" t="str">
        <f>INDEX(products!$A$1:$G$49, MATCH(orders!$D129,products!$A$1:$A$49,0), MATCH(I$1,products!$A$1:$G$1,0))</f>
        <v>Lib</v>
      </c>
      <c r="J129" t="str">
        <f>INDEX(products!$A$1:$G$49, MATCH(orders!$D129,products!$A$1:$A$49,0), MATCH(J$1,products!$A$1:$G$1,0))</f>
        <v>D</v>
      </c>
      <c r="K129" s="4">
        <f>INDEX(products!$A$1:$G$49, MATCH(orders!$D129,products!$A$1:$A$49,0), MATCH(K$1,products!$A$1:$G$1,0))</f>
        <v>1</v>
      </c>
      <c r="L129" s="5">
        <f>INDEX(products!$A$1:$G$49, MATCH(orders!$D129,products!$A$1:$A$49,0), MATCH(L$1,products!$A$1:$G$1,0))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 = 0, "", _xlfn.XLOOKUP(C130,customers!$A$1:$A$1001,customers!$C$1:$C$1001,,0))</f>
        <v>twoofinden3k@businesswire.com</v>
      </c>
      <c r="H130" s="2" t="str">
        <f>_xlfn.XLOOKUP(C130,customers!$A$1:$A$1001,customers!$G$1:$G$1001,,0)</f>
        <v>United States</v>
      </c>
      <c r="I130" t="str">
        <f>INDEX(products!$A$1:$G$49, MATCH(orders!$D130,products!$A$1:$A$49,0), MATCH(I$1,products!$A$1:$G$1,0))</f>
        <v>Ara</v>
      </c>
      <c r="J130" t="str">
        <f>INDEX(products!$A$1:$G$49, MATCH(orders!$D130,products!$A$1:$A$49,0), MATCH(J$1,products!$A$1:$G$1,0))</f>
        <v>M</v>
      </c>
      <c r="K130" s="4">
        <f>INDEX(products!$A$1:$G$49, MATCH(orders!$D130,products!$A$1:$A$49,0), MATCH(K$1,products!$A$1:$G$1,0))</f>
        <v>0.5</v>
      </c>
      <c r="L130" s="5">
        <f>INDEX(products!$A$1:$G$49, MATCH(orders!$D130,products!$A$1:$A$49,0), MATCH(L$1,products!$A$1:$G$1,0))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 = 0, "", _xlfn.XLOOKUP(C131,customers!$A$1:$A$1001,customers!$C$1:$C$1001,,0))</f>
        <v>edacca3l@google.pl</v>
      </c>
      <c r="H131" s="2" t="str">
        <f>_xlfn.XLOOKUP(C131,customers!$A$1:$A$1001,customers!$G$1:$G$1001,,0)</f>
        <v>United States</v>
      </c>
      <c r="I131" t="str">
        <f>INDEX(products!$A$1:$G$49, MATCH(orders!$D131,products!$A$1:$A$49,0), MATCH(I$1,products!$A$1:$G$1,0))</f>
        <v>Exc</v>
      </c>
      <c r="J131" t="str">
        <f>INDEX(products!$A$1:$G$49, MATCH(orders!$D131,products!$A$1:$A$49,0), MATCH(J$1,products!$A$1:$G$1,0))</f>
        <v>D</v>
      </c>
      <c r="K131" s="4">
        <f>INDEX(products!$A$1:$G$49, MATCH(orders!$D131,products!$A$1:$A$49,0), MATCH(K$1,products!$A$1:$G$1,0))</f>
        <v>1</v>
      </c>
      <c r="L131" s="5">
        <f>INDEX(products!$A$1:$G$49, MATCH(orders!$D131,products!$A$1:$A$49,0), MATCH(L$1,products!$A$1:$G$1,0))</f>
        <v>12.15</v>
      </c>
      <c r="M131" s="5">
        <f t="shared" ref="M131:M194" si="6">L131*E131</f>
        <v>12.15</v>
      </c>
      <c r="N131" t="str">
        <f t="shared" ref="N131:N194" si="7">IF(I131="Rob", "Robusta", IF(I131 = "Exc", "Excelsa", IF(I131 = "Ara", "Arabica", IF(I131 = "Lib", "Liberica", ""))))</f>
        <v>Excelsa</v>
      </c>
      <c r="O131" t="str">
        <f t="shared" ref="O131:O194" si="8">IF(J131 = "M", "Medium", IF(J131 = "L", "Light", IF( J131 = "D", "Dark", "")))</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 = 0, "", _xlfn.XLOOKUP(C132,customers!$A$1:$A$1001,customers!$C$1:$C$1001,,0))</f>
        <v/>
      </c>
      <c r="H132" s="2" t="str">
        <f>_xlfn.XLOOKUP(C132,customers!$A$1:$A$1001,customers!$G$1:$G$1001,,0)</f>
        <v>Ireland</v>
      </c>
      <c r="I132" t="str">
        <f>INDEX(products!$A$1:$G$49, MATCH(orders!$D132,products!$A$1:$A$49,0), MATCH(I$1,products!$A$1:$G$1,0))</f>
        <v>Ara</v>
      </c>
      <c r="J132" t="str">
        <f>INDEX(products!$A$1:$G$49, MATCH(orders!$D132,products!$A$1:$A$49,0), MATCH(J$1,products!$A$1:$G$1,0))</f>
        <v>L</v>
      </c>
      <c r="K132" s="4">
        <f>INDEX(products!$A$1:$G$49, MATCH(orders!$D132,products!$A$1:$A$49,0), MATCH(K$1,products!$A$1:$G$1,0))</f>
        <v>2.5</v>
      </c>
      <c r="L132" s="5">
        <f>INDEX(products!$A$1:$G$49, MATCH(orders!$D132,products!$A$1:$A$49,0), MATCH(L$1,products!$A$1:$G$1,0))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 = 0, "", _xlfn.XLOOKUP(C133,customers!$A$1:$A$1001,customers!$C$1:$C$1001,,0))</f>
        <v>bhindsberg3n@blogs.com</v>
      </c>
      <c r="H133" s="2" t="str">
        <f>_xlfn.XLOOKUP(C133,customers!$A$1:$A$1001,customers!$G$1:$G$1001,,0)</f>
        <v>United States</v>
      </c>
      <c r="I133" t="str">
        <f>INDEX(products!$A$1:$G$49, MATCH(orders!$D133,products!$A$1:$A$49,0), MATCH(I$1,products!$A$1:$G$1,0))</f>
        <v>Exc</v>
      </c>
      <c r="J133" t="str">
        <f>INDEX(products!$A$1:$G$49, MATCH(orders!$D133,products!$A$1:$A$49,0), MATCH(J$1,products!$A$1:$G$1,0))</f>
        <v>D</v>
      </c>
      <c r="K133" s="4">
        <f>INDEX(products!$A$1:$G$49, MATCH(orders!$D133,products!$A$1:$A$49,0), MATCH(K$1,products!$A$1:$G$1,0))</f>
        <v>0.5</v>
      </c>
      <c r="L133" s="5">
        <f>INDEX(products!$A$1:$G$49, MATCH(orders!$D133,products!$A$1:$A$49,0), MATCH(L$1,products!$A$1:$G$1,0))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 = 0, "", _xlfn.XLOOKUP(C134,customers!$A$1:$A$1001,customers!$C$1:$C$1001,,0))</f>
        <v>orobins3o@salon.com</v>
      </c>
      <c r="H134" s="2" t="str">
        <f>_xlfn.XLOOKUP(C134,customers!$A$1:$A$1001,customers!$G$1:$G$1001,,0)</f>
        <v>United States</v>
      </c>
      <c r="I134" t="str">
        <f>INDEX(products!$A$1:$G$49, MATCH(orders!$D134,products!$A$1:$A$49,0), MATCH(I$1,products!$A$1:$G$1,0))</f>
        <v>Ara</v>
      </c>
      <c r="J134" t="str">
        <f>INDEX(products!$A$1:$G$49, MATCH(orders!$D134,products!$A$1:$A$49,0), MATCH(J$1,products!$A$1:$G$1,0))</f>
        <v>L</v>
      </c>
      <c r="K134" s="4">
        <f>INDEX(products!$A$1:$G$49, MATCH(orders!$D134,products!$A$1:$A$49,0), MATCH(K$1,products!$A$1:$G$1,0))</f>
        <v>2.5</v>
      </c>
      <c r="L134" s="5">
        <f>INDEX(products!$A$1:$G$49, MATCH(orders!$D134,products!$A$1:$A$49,0), MATCH(L$1,products!$A$1:$G$1,0))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 = 0, "", _xlfn.XLOOKUP(C135,customers!$A$1:$A$1001,customers!$C$1:$C$1001,,0))</f>
        <v>osyseland3p@independent.co.uk</v>
      </c>
      <c r="H135" s="2" t="str">
        <f>_xlfn.XLOOKUP(C135,customers!$A$1:$A$1001,customers!$G$1:$G$1001,,0)</f>
        <v>United States</v>
      </c>
      <c r="I135" t="str">
        <f>INDEX(products!$A$1:$G$49, MATCH(orders!$D135,products!$A$1:$A$49,0), MATCH(I$1,products!$A$1:$G$1,0))</f>
        <v>Lib</v>
      </c>
      <c r="J135" t="str">
        <f>INDEX(products!$A$1:$G$49, MATCH(orders!$D135,products!$A$1:$A$49,0), MATCH(J$1,products!$A$1:$G$1,0))</f>
        <v>D</v>
      </c>
      <c r="K135" s="4">
        <f>INDEX(products!$A$1:$G$49, MATCH(orders!$D135,products!$A$1:$A$49,0), MATCH(K$1,products!$A$1:$G$1,0))</f>
        <v>1</v>
      </c>
      <c r="L135" s="5">
        <f>INDEX(products!$A$1:$G$49, MATCH(orders!$D135,products!$A$1:$A$49,0), MATCH(L$1,products!$A$1:$G$1,0))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 = 0, "", _xlfn.XLOOKUP(C136,customers!$A$1:$A$1001,customers!$C$1:$C$1001,,0))</f>
        <v/>
      </c>
      <c r="H136" s="2" t="str">
        <f>_xlfn.XLOOKUP(C136,customers!$A$1:$A$1001,customers!$G$1:$G$1001,,0)</f>
        <v>United States</v>
      </c>
      <c r="I136" t="str">
        <f>INDEX(products!$A$1:$G$49, MATCH(orders!$D136,products!$A$1:$A$49,0), MATCH(I$1,products!$A$1:$G$1,0))</f>
        <v>Exc</v>
      </c>
      <c r="J136" t="str">
        <f>INDEX(products!$A$1:$G$49, MATCH(orders!$D136,products!$A$1:$A$49,0), MATCH(J$1,products!$A$1:$G$1,0))</f>
        <v>M</v>
      </c>
      <c r="K136" s="4">
        <f>INDEX(products!$A$1:$G$49, MATCH(orders!$D136,products!$A$1:$A$49,0), MATCH(K$1,products!$A$1:$G$1,0))</f>
        <v>2.5</v>
      </c>
      <c r="L136" s="5">
        <f>INDEX(products!$A$1:$G$49, MATCH(orders!$D136,products!$A$1:$A$49,0), MATCH(L$1,products!$A$1:$G$1,0))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 = 0, "", _xlfn.XLOOKUP(C137,customers!$A$1:$A$1001,customers!$C$1:$C$1001,,0))</f>
        <v>bmcamish2e@tripadvisor.com</v>
      </c>
      <c r="H137" s="2" t="str">
        <f>_xlfn.XLOOKUP(C137,customers!$A$1:$A$1001,customers!$G$1:$G$1001,,0)</f>
        <v>United States</v>
      </c>
      <c r="I137" t="str">
        <f>INDEX(products!$A$1:$G$49, MATCH(orders!$D137,products!$A$1:$A$49,0), MATCH(I$1,products!$A$1:$G$1,0))</f>
        <v>Ara</v>
      </c>
      <c r="J137" t="str">
        <f>INDEX(products!$A$1:$G$49, MATCH(orders!$D137,products!$A$1:$A$49,0), MATCH(J$1,products!$A$1:$G$1,0))</f>
        <v>L</v>
      </c>
      <c r="K137" s="4">
        <f>INDEX(products!$A$1:$G$49, MATCH(orders!$D137,products!$A$1:$A$49,0), MATCH(K$1,products!$A$1:$G$1,0))</f>
        <v>0.5</v>
      </c>
      <c r="L137" s="5">
        <f>INDEX(products!$A$1:$G$49, MATCH(orders!$D137,products!$A$1:$A$49,0), MATCH(L$1,products!$A$1:$G$1,0))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 = 0, "", _xlfn.XLOOKUP(C138,customers!$A$1:$A$1001,customers!$C$1:$C$1001,,0))</f>
        <v>lkeenleyside3s@topsy.com</v>
      </c>
      <c r="H138" s="2" t="str">
        <f>_xlfn.XLOOKUP(C138,customers!$A$1:$A$1001,customers!$G$1:$G$1001,,0)</f>
        <v>United States</v>
      </c>
      <c r="I138" t="str">
        <f>INDEX(products!$A$1:$G$49, MATCH(orders!$D138,products!$A$1:$A$49,0), MATCH(I$1,products!$A$1:$G$1,0))</f>
        <v>Ara</v>
      </c>
      <c r="J138" t="str">
        <f>INDEX(products!$A$1:$G$49, MATCH(orders!$D138,products!$A$1:$A$49,0), MATCH(J$1,products!$A$1:$G$1,0))</f>
        <v>D</v>
      </c>
      <c r="K138" s="4">
        <f>INDEX(products!$A$1:$G$49, MATCH(orders!$D138,products!$A$1:$A$49,0), MATCH(K$1,products!$A$1:$G$1,0))</f>
        <v>0.2</v>
      </c>
      <c r="L138" s="5">
        <f>INDEX(products!$A$1:$G$49, MATCH(orders!$D138,products!$A$1:$A$49,0), MATCH(L$1,products!$A$1:$G$1,0))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 = 0, "", _xlfn.XLOOKUP(C139,customers!$A$1:$A$1001,customers!$C$1:$C$1001,,0))</f>
        <v/>
      </c>
      <c r="H139" s="2" t="str">
        <f>_xlfn.XLOOKUP(C139,customers!$A$1:$A$1001,customers!$G$1:$G$1001,,0)</f>
        <v>Ireland</v>
      </c>
      <c r="I139" t="str">
        <f>INDEX(products!$A$1:$G$49, MATCH(orders!$D139,products!$A$1:$A$49,0), MATCH(I$1,products!$A$1:$G$1,0))</f>
        <v>Exc</v>
      </c>
      <c r="J139" t="str">
        <f>INDEX(products!$A$1:$G$49, MATCH(orders!$D139,products!$A$1:$A$49,0), MATCH(J$1,products!$A$1:$G$1,0))</f>
        <v>L</v>
      </c>
      <c r="K139" s="4">
        <f>INDEX(products!$A$1:$G$49, MATCH(orders!$D139,products!$A$1:$A$49,0), MATCH(K$1,products!$A$1:$G$1,0))</f>
        <v>2.5</v>
      </c>
      <c r="L139" s="5">
        <f>INDEX(products!$A$1:$G$49, MATCH(orders!$D139,products!$A$1:$A$49,0), MATCH(L$1,products!$A$1:$G$1,0))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 = 0, "", _xlfn.XLOOKUP(C140,customers!$A$1:$A$1001,customers!$C$1:$C$1001,,0))</f>
        <v/>
      </c>
      <c r="H140" s="2" t="str">
        <f>_xlfn.XLOOKUP(C140,customers!$A$1:$A$1001,customers!$G$1:$G$1001,,0)</f>
        <v>United States</v>
      </c>
      <c r="I140" t="str">
        <f>INDEX(products!$A$1:$G$49, MATCH(orders!$D140,products!$A$1:$A$49,0), MATCH(I$1,products!$A$1:$G$1,0))</f>
        <v>Exc</v>
      </c>
      <c r="J140" t="str">
        <f>INDEX(products!$A$1:$G$49, MATCH(orders!$D140,products!$A$1:$A$49,0), MATCH(J$1,products!$A$1:$G$1,0))</f>
        <v>D</v>
      </c>
      <c r="K140" s="4">
        <f>INDEX(products!$A$1:$G$49, MATCH(orders!$D140,products!$A$1:$A$49,0), MATCH(K$1,products!$A$1:$G$1,0))</f>
        <v>1</v>
      </c>
      <c r="L140" s="5">
        <f>INDEX(products!$A$1:$G$49, MATCH(orders!$D140,products!$A$1:$A$49,0), MATCH(L$1,products!$A$1:$G$1,0))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 = 0, "", _xlfn.XLOOKUP(C141,customers!$A$1:$A$1001,customers!$C$1:$C$1001,,0))</f>
        <v/>
      </c>
      <c r="H141" s="2" t="str">
        <f>_xlfn.XLOOKUP(C141,customers!$A$1:$A$1001,customers!$G$1:$G$1001,,0)</f>
        <v>United States</v>
      </c>
      <c r="I141" t="str">
        <f>INDEX(products!$A$1:$G$49, MATCH(orders!$D141,products!$A$1:$A$49,0), MATCH(I$1,products!$A$1:$G$1,0))</f>
        <v>Lib</v>
      </c>
      <c r="J141" t="str">
        <f>INDEX(products!$A$1:$G$49, MATCH(orders!$D141,products!$A$1:$A$49,0), MATCH(J$1,products!$A$1:$G$1,0))</f>
        <v>D</v>
      </c>
      <c r="K141" s="4">
        <f>INDEX(products!$A$1:$G$49, MATCH(orders!$D141,products!$A$1:$A$49,0), MATCH(K$1,products!$A$1:$G$1,0))</f>
        <v>1</v>
      </c>
      <c r="L141" s="5">
        <f>INDEX(products!$A$1:$G$49, MATCH(orders!$D141,products!$A$1:$A$49,0), MATCH(L$1,products!$A$1:$G$1,0))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 = 0, "", _xlfn.XLOOKUP(C142,customers!$A$1:$A$1001,customers!$C$1:$C$1001,,0))</f>
        <v>vkundt3w@bigcartel.com</v>
      </c>
      <c r="H142" s="2" t="str">
        <f>_xlfn.XLOOKUP(C142,customers!$A$1:$A$1001,customers!$G$1:$G$1001,,0)</f>
        <v>Ireland</v>
      </c>
      <c r="I142" t="str">
        <f>INDEX(products!$A$1:$G$49, MATCH(orders!$D142,products!$A$1:$A$49,0), MATCH(I$1,products!$A$1:$G$1,0))</f>
        <v>Lib</v>
      </c>
      <c r="J142" t="str">
        <f>INDEX(products!$A$1:$G$49, MATCH(orders!$D142,products!$A$1:$A$49,0), MATCH(J$1,products!$A$1:$G$1,0))</f>
        <v>D</v>
      </c>
      <c r="K142" s="4">
        <f>INDEX(products!$A$1:$G$49, MATCH(orders!$D142,products!$A$1:$A$49,0), MATCH(K$1,products!$A$1:$G$1,0))</f>
        <v>2.5</v>
      </c>
      <c r="L142" s="5">
        <f>INDEX(products!$A$1:$G$49, MATCH(orders!$D142,products!$A$1:$A$49,0), MATCH(L$1,products!$A$1:$G$1,0))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 = 0, "", _xlfn.XLOOKUP(C143,customers!$A$1:$A$1001,customers!$C$1:$C$1001,,0))</f>
        <v>bbett3x@google.de</v>
      </c>
      <c r="H143" s="2" t="str">
        <f>_xlfn.XLOOKUP(C143,customers!$A$1:$A$1001,customers!$G$1:$G$1001,,0)</f>
        <v>United States</v>
      </c>
      <c r="I143" t="str">
        <f>INDEX(products!$A$1:$G$49, MATCH(orders!$D143,products!$A$1:$A$49,0), MATCH(I$1,products!$A$1:$G$1,0))</f>
        <v>Ara</v>
      </c>
      <c r="J143" t="str">
        <f>INDEX(products!$A$1:$G$49, MATCH(orders!$D143,products!$A$1:$A$49,0), MATCH(J$1,products!$A$1:$G$1,0))</f>
        <v>L</v>
      </c>
      <c r="K143" s="4">
        <f>INDEX(products!$A$1:$G$49, MATCH(orders!$D143,products!$A$1:$A$49,0), MATCH(K$1,products!$A$1:$G$1,0))</f>
        <v>0.2</v>
      </c>
      <c r="L143" s="5">
        <f>INDEX(products!$A$1:$G$49, MATCH(orders!$D143,products!$A$1:$A$49,0), MATCH(L$1,products!$A$1:$G$1,0))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 = 0, "", _xlfn.XLOOKUP(C144,customers!$A$1:$A$1001,customers!$C$1:$C$1001,,0))</f>
        <v/>
      </c>
      <c r="H144" s="2" t="str">
        <f>_xlfn.XLOOKUP(C144,customers!$A$1:$A$1001,customers!$G$1:$G$1001,,0)</f>
        <v>Ireland</v>
      </c>
      <c r="I144" t="str">
        <f>INDEX(products!$A$1:$G$49, MATCH(orders!$D144,products!$A$1:$A$49,0), MATCH(I$1,products!$A$1:$G$1,0))</f>
        <v>Exc</v>
      </c>
      <c r="J144" t="str">
        <f>INDEX(products!$A$1:$G$49, MATCH(orders!$D144,products!$A$1:$A$49,0), MATCH(J$1,products!$A$1:$G$1,0))</f>
        <v>L</v>
      </c>
      <c r="K144" s="4">
        <f>INDEX(products!$A$1:$G$49, MATCH(orders!$D144,products!$A$1:$A$49,0), MATCH(K$1,products!$A$1:$G$1,0))</f>
        <v>2.5</v>
      </c>
      <c r="L144" s="5">
        <f>INDEX(products!$A$1:$G$49, MATCH(orders!$D144,products!$A$1:$A$49,0), MATCH(L$1,products!$A$1:$G$1,0))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 = 0, "", _xlfn.XLOOKUP(C145,customers!$A$1:$A$1001,customers!$C$1:$C$1001,,0))</f>
        <v>dstaite3z@scientificamerican.com</v>
      </c>
      <c r="H145" s="2" t="str">
        <f>_xlfn.XLOOKUP(C145,customers!$A$1:$A$1001,customers!$G$1:$G$1001,,0)</f>
        <v>United States</v>
      </c>
      <c r="I145" t="str">
        <f>INDEX(products!$A$1:$G$49, MATCH(orders!$D145,products!$A$1:$A$49,0), MATCH(I$1,products!$A$1:$G$1,0))</f>
        <v>Lib</v>
      </c>
      <c r="J145" t="str">
        <f>INDEX(products!$A$1:$G$49, MATCH(orders!$D145,products!$A$1:$A$49,0), MATCH(J$1,products!$A$1:$G$1,0))</f>
        <v>M</v>
      </c>
      <c r="K145" s="4">
        <f>INDEX(products!$A$1:$G$49, MATCH(orders!$D145,products!$A$1:$A$49,0), MATCH(K$1,products!$A$1:$G$1,0))</f>
        <v>0.5</v>
      </c>
      <c r="L145" s="5">
        <f>INDEX(products!$A$1:$G$49, MATCH(orders!$D145,products!$A$1:$A$49,0), MATCH(L$1,products!$A$1:$G$1,0))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 = 0, "", _xlfn.XLOOKUP(C146,customers!$A$1:$A$1001,customers!$C$1:$C$1001,,0))</f>
        <v>wkeyse40@apple.com</v>
      </c>
      <c r="H146" s="2" t="str">
        <f>_xlfn.XLOOKUP(C146,customers!$A$1:$A$1001,customers!$G$1:$G$1001,,0)</f>
        <v>United States</v>
      </c>
      <c r="I146" t="str">
        <f>INDEX(products!$A$1:$G$49, MATCH(orders!$D146,products!$A$1:$A$49,0), MATCH(I$1,products!$A$1:$G$1,0))</f>
        <v>Exc</v>
      </c>
      <c r="J146" t="str">
        <f>INDEX(products!$A$1:$G$49, MATCH(orders!$D146,products!$A$1:$A$49,0), MATCH(J$1,products!$A$1:$G$1,0))</f>
        <v>L</v>
      </c>
      <c r="K146" s="4">
        <f>INDEX(products!$A$1:$G$49, MATCH(orders!$D146,products!$A$1:$A$49,0), MATCH(K$1,products!$A$1:$G$1,0))</f>
        <v>2.5</v>
      </c>
      <c r="L146" s="5">
        <f>INDEX(products!$A$1:$G$49, MATCH(orders!$D146,products!$A$1:$A$49,0), MATCH(L$1,products!$A$1:$G$1,0))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 = 0, "", _xlfn.XLOOKUP(C147,customers!$A$1:$A$1001,customers!$C$1:$C$1001,,0))</f>
        <v>oclausenthue41@marriott.com</v>
      </c>
      <c r="H147" s="2" t="str">
        <f>_xlfn.XLOOKUP(C147,customers!$A$1:$A$1001,customers!$G$1:$G$1001,,0)</f>
        <v>United States</v>
      </c>
      <c r="I147" t="str">
        <f>INDEX(products!$A$1:$G$49, MATCH(orders!$D147,products!$A$1:$A$49,0), MATCH(I$1,products!$A$1:$G$1,0))</f>
        <v>Lib</v>
      </c>
      <c r="J147" t="str">
        <f>INDEX(products!$A$1:$G$49, MATCH(orders!$D147,products!$A$1:$A$49,0), MATCH(J$1,products!$A$1:$G$1,0))</f>
        <v>M</v>
      </c>
      <c r="K147" s="4">
        <f>INDEX(products!$A$1:$G$49, MATCH(orders!$D147,products!$A$1:$A$49,0), MATCH(K$1,products!$A$1:$G$1,0))</f>
        <v>0.2</v>
      </c>
      <c r="L147" s="5">
        <f>INDEX(products!$A$1:$G$49, MATCH(orders!$D147,products!$A$1:$A$49,0), MATCH(L$1,products!$A$1:$G$1,0))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 = 0, "", _xlfn.XLOOKUP(C148,customers!$A$1:$A$1001,customers!$C$1:$C$1001,,0))</f>
        <v>lfrancisco42@fema.gov</v>
      </c>
      <c r="H148" s="2" t="str">
        <f>_xlfn.XLOOKUP(C148,customers!$A$1:$A$1001,customers!$G$1:$G$1001,,0)</f>
        <v>United States</v>
      </c>
      <c r="I148" t="str">
        <f>INDEX(products!$A$1:$G$49, MATCH(orders!$D148,products!$A$1:$A$49,0), MATCH(I$1,products!$A$1:$G$1,0))</f>
        <v>Lib</v>
      </c>
      <c r="J148" t="str">
        <f>INDEX(products!$A$1:$G$49, MATCH(orders!$D148,products!$A$1:$A$49,0), MATCH(J$1,products!$A$1:$G$1,0))</f>
        <v>M</v>
      </c>
      <c r="K148" s="4">
        <f>INDEX(products!$A$1:$G$49, MATCH(orders!$D148,products!$A$1:$A$49,0), MATCH(K$1,products!$A$1:$G$1,0))</f>
        <v>1</v>
      </c>
      <c r="L148" s="5">
        <f>INDEX(products!$A$1:$G$49, MATCH(orders!$D148,products!$A$1:$A$49,0), MATCH(L$1,products!$A$1:$G$1,0))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 = 0, "", _xlfn.XLOOKUP(C149,customers!$A$1:$A$1001,customers!$C$1:$C$1001,,0))</f>
        <v>lfrancisco42@fema.gov</v>
      </c>
      <c r="H149" s="2" t="str">
        <f>_xlfn.XLOOKUP(C149,customers!$A$1:$A$1001,customers!$G$1:$G$1001,,0)</f>
        <v>United States</v>
      </c>
      <c r="I149" t="str">
        <f>INDEX(products!$A$1:$G$49, MATCH(orders!$D149,products!$A$1:$A$49,0), MATCH(I$1,products!$A$1:$G$1,0))</f>
        <v>Exc</v>
      </c>
      <c r="J149" t="str">
        <f>INDEX(products!$A$1:$G$49, MATCH(orders!$D149,products!$A$1:$A$49,0), MATCH(J$1,products!$A$1:$G$1,0))</f>
        <v>M</v>
      </c>
      <c r="K149" s="4">
        <f>INDEX(products!$A$1:$G$49, MATCH(orders!$D149,products!$A$1:$A$49,0), MATCH(K$1,products!$A$1:$G$1,0))</f>
        <v>1</v>
      </c>
      <c r="L149" s="5">
        <f>INDEX(products!$A$1:$G$49, MATCH(orders!$D149,products!$A$1:$A$49,0), MATCH(L$1,products!$A$1:$G$1,0))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 = 0, "", _xlfn.XLOOKUP(C150,customers!$A$1:$A$1001,customers!$C$1:$C$1001,,0))</f>
        <v>gskingle44@clickbank.net</v>
      </c>
      <c r="H150" s="2" t="str">
        <f>_xlfn.XLOOKUP(C150,customers!$A$1:$A$1001,customers!$G$1:$G$1001,,0)</f>
        <v>United States</v>
      </c>
      <c r="I150" t="str">
        <f>INDEX(products!$A$1:$G$49, MATCH(orders!$D150,products!$A$1:$A$49,0), MATCH(I$1,products!$A$1:$G$1,0))</f>
        <v>Exc</v>
      </c>
      <c r="J150" t="str">
        <f>INDEX(products!$A$1:$G$49, MATCH(orders!$D150,products!$A$1:$A$49,0), MATCH(J$1,products!$A$1:$G$1,0))</f>
        <v>D</v>
      </c>
      <c r="K150" s="4">
        <f>INDEX(products!$A$1:$G$49, MATCH(orders!$D150,products!$A$1:$A$49,0), MATCH(K$1,products!$A$1:$G$1,0))</f>
        <v>0.2</v>
      </c>
      <c r="L150" s="5">
        <f>INDEX(products!$A$1:$G$49, MATCH(orders!$D150,products!$A$1:$A$49,0), MATCH(L$1,products!$A$1:$G$1,0))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 = 0, "", _xlfn.XLOOKUP(C151,customers!$A$1:$A$1001,customers!$C$1:$C$1001,,0))</f>
        <v/>
      </c>
      <c r="H151" s="2" t="str">
        <f>_xlfn.XLOOKUP(C151,customers!$A$1:$A$1001,customers!$G$1:$G$1001,,0)</f>
        <v>United States</v>
      </c>
      <c r="I151" t="str">
        <f>INDEX(products!$A$1:$G$49, MATCH(orders!$D151,products!$A$1:$A$49,0), MATCH(I$1,products!$A$1:$G$1,0))</f>
        <v>Ara</v>
      </c>
      <c r="J151" t="str">
        <f>INDEX(products!$A$1:$G$49, MATCH(orders!$D151,products!$A$1:$A$49,0), MATCH(J$1,products!$A$1:$G$1,0))</f>
        <v>M</v>
      </c>
      <c r="K151" s="4">
        <f>INDEX(products!$A$1:$G$49, MATCH(orders!$D151,products!$A$1:$A$49,0), MATCH(K$1,products!$A$1:$G$1,0))</f>
        <v>2.5</v>
      </c>
      <c r="L151" s="5">
        <f>INDEX(products!$A$1:$G$49, MATCH(orders!$D151,products!$A$1:$A$49,0), MATCH(L$1,products!$A$1:$G$1,0))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 = 0, "", _xlfn.XLOOKUP(C152,customers!$A$1:$A$1001,customers!$C$1:$C$1001,,0))</f>
        <v>jbalsillie46@princeton.edu</v>
      </c>
      <c r="H152" s="2" t="str">
        <f>_xlfn.XLOOKUP(C152,customers!$A$1:$A$1001,customers!$G$1:$G$1001,,0)</f>
        <v>United States</v>
      </c>
      <c r="I152" t="str">
        <f>INDEX(products!$A$1:$G$49, MATCH(orders!$D152,products!$A$1:$A$49,0), MATCH(I$1,products!$A$1:$G$1,0))</f>
        <v>Lib</v>
      </c>
      <c r="J152" t="str">
        <f>INDEX(products!$A$1:$G$49, MATCH(orders!$D152,products!$A$1:$A$49,0), MATCH(J$1,products!$A$1:$G$1,0))</f>
        <v>D</v>
      </c>
      <c r="K152" s="4">
        <f>INDEX(products!$A$1:$G$49, MATCH(orders!$D152,products!$A$1:$A$49,0), MATCH(K$1,products!$A$1:$G$1,0))</f>
        <v>1</v>
      </c>
      <c r="L152" s="5">
        <f>INDEX(products!$A$1:$G$49, MATCH(orders!$D152,products!$A$1:$A$49,0), MATCH(L$1,products!$A$1:$G$1,0))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 = 0, "", _xlfn.XLOOKUP(C153,customers!$A$1:$A$1001,customers!$C$1:$C$1001,,0))</f>
        <v/>
      </c>
      <c r="H153" s="2" t="str">
        <f>_xlfn.XLOOKUP(C153,customers!$A$1:$A$1001,customers!$G$1:$G$1001,,0)</f>
        <v>United States</v>
      </c>
      <c r="I153" t="str">
        <f>INDEX(products!$A$1:$G$49, MATCH(orders!$D153,products!$A$1:$A$49,0), MATCH(I$1,products!$A$1:$G$1,0))</f>
        <v>Ara</v>
      </c>
      <c r="J153" t="str">
        <f>INDEX(products!$A$1:$G$49, MATCH(orders!$D153,products!$A$1:$A$49,0), MATCH(J$1,products!$A$1:$G$1,0))</f>
        <v>M</v>
      </c>
      <c r="K153" s="4">
        <f>INDEX(products!$A$1:$G$49, MATCH(orders!$D153,products!$A$1:$A$49,0), MATCH(K$1,products!$A$1:$G$1,0))</f>
        <v>1</v>
      </c>
      <c r="L153" s="5">
        <f>INDEX(products!$A$1:$G$49, MATCH(orders!$D153,products!$A$1:$A$49,0), MATCH(L$1,products!$A$1:$G$1,0))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 = 0, "", _xlfn.XLOOKUP(C154,customers!$A$1:$A$1001,customers!$C$1:$C$1001,,0))</f>
        <v>bleffek48@ning.com</v>
      </c>
      <c r="H154" s="2" t="str">
        <f>_xlfn.XLOOKUP(C154,customers!$A$1:$A$1001,customers!$G$1:$G$1001,,0)</f>
        <v>United States</v>
      </c>
      <c r="I154" t="str">
        <f>INDEX(products!$A$1:$G$49, MATCH(orders!$D154,products!$A$1:$A$49,0), MATCH(I$1,products!$A$1:$G$1,0))</f>
        <v>Rob</v>
      </c>
      <c r="J154" t="str">
        <f>INDEX(products!$A$1:$G$49, MATCH(orders!$D154,products!$A$1:$A$49,0), MATCH(J$1,products!$A$1:$G$1,0))</f>
        <v>M</v>
      </c>
      <c r="K154" s="4">
        <f>INDEX(products!$A$1:$G$49, MATCH(orders!$D154,products!$A$1:$A$49,0), MATCH(K$1,products!$A$1:$G$1,0))</f>
        <v>2.5</v>
      </c>
      <c r="L154" s="5">
        <f>INDEX(products!$A$1:$G$49, MATCH(orders!$D154,products!$A$1:$A$49,0), MATCH(L$1,products!$A$1:$G$1,0))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 = 0, "", _xlfn.XLOOKUP(C155,customers!$A$1:$A$1001,customers!$C$1:$C$1001,,0))</f>
        <v/>
      </c>
      <c r="H155" s="2" t="str">
        <f>_xlfn.XLOOKUP(C155,customers!$A$1:$A$1001,customers!$G$1:$G$1001,,0)</f>
        <v>United States</v>
      </c>
      <c r="I155" t="str">
        <f>INDEX(products!$A$1:$G$49, MATCH(orders!$D155,products!$A$1:$A$49,0), MATCH(I$1,products!$A$1:$G$1,0))</f>
        <v>Rob</v>
      </c>
      <c r="J155" t="str">
        <f>INDEX(products!$A$1:$G$49, MATCH(orders!$D155,products!$A$1:$A$49,0), MATCH(J$1,products!$A$1:$G$1,0))</f>
        <v>D</v>
      </c>
      <c r="K155" s="4">
        <f>INDEX(products!$A$1:$G$49, MATCH(orders!$D155,products!$A$1:$A$49,0), MATCH(K$1,products!$A$1:$G$1,0))</f>
        <v>0.2</v>
      </c>
      <c r="L155" s="5">
        <f>INDEX(products!$A$1:$G$49, MATCH(orders!$D155,products!$A$1:$A$49,0), MATCH(L$1,products!$A$1:$G$1,0))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 = 0, "", _xlfn.XLOOKUP(C156,customers!$A$1:$A$1001,customers!$C$1:$C$1001,,0))</f>
        <v>jpray4a@youtube.com</v>
      </c>
      <c r="H156" s="2" t="str">
        <f>_xlfn.XLOOKUP(C156,customers!$A$1:$A$1001,customers!$G$1:$G$1001,,0)</f>
        <v>United States</v>
      </c>
      <c r="I156" t="str">
        <f>INDEX(products!$A$1:$G$49, MATCH(orders!$D156,products!$A$1:$A$49,0), MATCH(I$1,products!$A$1:$G$1,0))</f>
        <v>Ara</v>
      </c>
      <c r="J156" t="str">
        <f>INDEX(products!$A$1:$G$49, MATCH(orders!$D156,products!$A$1:$A$49,0), MATCH(J$1,products!$A$1:$G$1,0))</f>
        <v>D</v>
      </c>
      <c r="K156" s="4">
        <f>INDEX(products!$A$1:$G$49, MATCH(orders!$D156,products!$A$1:$A$49,0), MATCH(K$1,products!$A$1:$G$1,0))</f>
        <v>2.5</v>
      </c>
      <c r="L156" s="5">
        <f>INDEX(products!$A$1:$G$49, MATCH(orders!$D156,products!$A$1:$A$49,0), MATCH(L$1,products!$A$1:$G$1,0))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 = 0, "", _xlfn.XLOOKUP(C157,customers!$A$1:$A$1001,customers!$C$1:$C$1001,,0))</f>
        <v>gholborn4b@ow.ly</v>
      </c>
      <c r="H157" s="2" t="str">
        <f>_xlfn.XLOOKUP(C157,customers!$A$1:$A$1001,customers!$G$1:$G$1001,,0)</f>
        <v>United States</v>
      </c>
      <c r="I157" t="str">
        <f>INDEX(products!$A$1:$G$49, MATCH(orders!$D157,products!$A$1:$A$49,0), MATCH(I$1,products!$A$1:$G$1,0))</f>
        <v>Ara</v>
      </c>
      <c r="J157" t="str">
        <f>INDEX(products!$A$1:$G$49, MATCH(orders!$D157,products!$A$1:$A$49,0), MATCH(J$1,products!$A$1:$G$1,0))</f>
        <v>M</v>
      </c>
      <c r="K157" s="4">
        <f>INDEX(products!$A$1:$G$49, MATCH(orders!$D157,products!$A$1:$A$49,0), MATCH(K$1,products!$A$1:$G$1,0))</f>
        <v>2.5</v>
      </c>
      <c r="L157" s="5">
        <f>INDEX(products!$A$1:$G$49, MATCH(orders!$D157,products!$A$1:$A$49,0), MATCH(L$1,products!$A$1:$G$1,0))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 = 0, "", _xlfn.XLOOKUP(C158,customers!$A$1:$A$1001,customers!$C$1:$C$1001,,0))</f>
        <v>fkeinrat4c@dailymail.co.uk</v>
      </c>
      <c r="H158" s="2" t="str">
        <f>_xlfn.XLOOKUP(C158,customers!$A$1:$A$1001,customers!$G$1:$G$1001,,0)</f>
        <v>United States</v>
      </c>
      <c r="I158" t="str">
        <f>INDEX(products!$A$1:$G$49, MATCH(orders!$D158,products!$A$1:$A$49,0), MATCH(I$1,products!$A$1:$G$1,0))</f>
        <v>Ara</v>
      </c>
      <c r="J158" t="str">
        <f>INDEX(products!$A$1:$G$49, MATCH(orders!$D158,products!$A$1:$A$49,0), MATCH(J$1,products!$A$1:$G$1,0))</f>
        <v>M</v>
      </c>
      <c r="K158" s="4">
        <f>INDEX(products!$A$1:$G$49, MATCH(orders!$D158,products!$A$1:$A$49,0), MATCH(K$1,products!$A$1:$G$1,0))</f>
        <v>2.5</v>
      </c>
      <c r="L158" s="5">
        <f>INDEX(products!$A$1:$G$49, MATCH(orders!$D158,products!$A$1:$A$49,0), MATCH(L$1,products!$A$1:$G$1,0))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 = 0, "", _xlfn.XLOOKUP(C159,customers!$A$1:$A$1001,customers!$C$1:$C$1001,,0))</f>
        <v>pyea4d@aol.com</v>
      </c>
      <c r="H159" s="2" t="str">
        <f>_xlfn.XLOOKUP(C159,customers!$A$1:$A$1001,customers!$G$1:$G$1001,,0)</f>
        <v>Ireland</v>
      </c>
      <c r="I159" t="str">
        <f>INDEX(products!$A$1:$G$49, MATCH(orders!$D159,products!$A$1:$A$49,0), MATCH(I$1,products!$A$1:$G$1,0))</f>
        <v>Rob</v>
      </c>
      <c r="J159" t="str">
        <f>INDEX(products!$A$1:$G$49, MATCH(orders!$D159,products!$A$1:$A$49,0), MATCH(J$1,products!$A$1:$G$1,0))</f>
        <v>D</v>
      </c>
      <c r="K159" s="4">
        <f>INDEX(products!$A$1:$G$49, MATCH(orders!$D159,products!$A$1:$A$49,0), MATCH(K$1,products!$A$1:$G$1,0))</f>
        <v>2.5</v>
      </c>
      <c r="L159" s="5">
        <f>INDEX(products!$A$1:$G$49, MATCH(orders!$D159,products!$A$1:$A$49,0), MATCH(L$1,products!$A$1:$G$1,0))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 = 0, "", _xlfn.XLOOKUP(C160,customers!$A$1:$A$1001,customers!$C$1:$C$1001,,0))</f>
        <v/>
      </c>
      <c r="H160" s="2" t="str">
        <f>_xlfn.XLOOKUP(C160,customers!$A$1:$A$1001,customers!$G$1:$G$1001,,0)</f>
        <v>United States</v>
      </c>
      <c r="I160" t="str">
        <f>INDEX(products!$A$1:$G$49, MATCH(orders!$D160,products!$A$1:$A$49,0), MATCH(I$1,products!$A$1:$G$1,0))</f>
        <v>Rob</v>
      </c>
      <c r="J160" t="str">
        <f>INDEX(products!$A$1:$G$49, MATCH(orders!$D160,products!$A$1:$A$49,0), MATCH(J$1,products!$A$1:$G$1,0))</f>
        <v>D</v>
      </c>
      <c r="K160" s="4">
        <f>INDEX(products!$A$1:$G$49, MATCH(orders!$D160,products!$A$1:$A$49,0), MATCH(K$1,products!$A$1:$G$1,0))</f>
        <v>2.5</v>
      </c>
      <c r="L160" s="5">
        <f>INDEX(products!$A$1:$G$49, MATCH(orders!$D160,products!$A$1:$A$49,0), MATCH(L$1,products!$A$1:$G$1,0))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 = 0, "", _xlfn.XLOOKUP(C161,customers!$A$1:$A$1001,customers!$C$1:$C$1001,,0))</f>
        <v/>
      </c>
      <c r="H161" s="2" t="str">
        <f>_xlfn.XLOOKUP(C161,customers!$A$1:$A$1001,customers!$G$1:$G$1001,,0)</f>
        <v>United States</v>
      </c>
      <c r="I161" t="str">
        <f>INDEX(products!$A$1:$G$49, MATCH(orders!$D161,products!$A$1:$A$49,0), MATCH(I$1,products!$A$1:$G$1,0))</f>
        <v>Lib</v>
      </c>
      <c r="J161" t="str">
        <f>INDEX(products!$A$1:$G$49, MATCH(orders!$D161,products!$A$1:$A$49,0), MATCH(J$1,products!$A$1:$G$1,0))</f>
        <v>L</v>
      </c>
      <c r="K161" s="4">
        <f>INDEX(products!$A$1:$G$49, MATCH(orders!$D161,products!$A$1:$A$49,0), MATCH(K$1,products!$A$1:$G$1,0))</f>
        <v>2.5</v>
      </c>
      <c r="L161" s="5">
        <f>INDEX(products!$A$1:$G$49, MATCH(orders!$D161,products!$A$1:$A$49,0), MATCH(L$1,products!$A$1:$G$1,0))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 = 0, "", _xlfn.XLOOKUP(C162,customers!$A$1:$A$1001,customers!$C$1:$C$1001,,0))</f>
        <v>kswede4g@addthis.com</v>
      </c>
      <c r="H162" s="2" t="str">
        <f>_xlfn.XLOOKUP(C162,customers!$A$1:$A$1001,customers!$G$1:$G$1001,,0)</f>
        <v>United States</v>
      </c>
      <c r="I162" t="str">
        <f>INDEX(products!$A$1:$G$49, MATCH(orders!$D162,products!$A$1:$A$49,0), MATCH(I$1,products!$A$1:$G$1,0))</f>
        <v>Exc</v>
      </c>
      <c r="J162" t="str">
        <f>INDEX(products!$A$1:$G$49, MATCH(orders!$D162,products!$A$1:$A$49,0), MATCH(J$1,products!$A$1:$G$1,0))</f>
        <v>M</v>
      </c>
      <c r="K162" s="4">
        <f>INDEX(products!$A$1:$G$49, MATCH(orders!$D162,products!$A$1:$A$49,0), MATCH(K$1,products!$A$1:$G$1,0))</f>
        <v>0.5</v>
      </c>
      <c r="L162" s="5">
        <f>INDEX(products!$A$1:$G$49, MATCH(orders!$D162,products!$A$1:$A$49,0), MATCH(L$1,products!$A$1:$G$1,0))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 = 0, "", _xlfn.XLOOKUP(C163,customers!$A$1:$A$1001,customers!$C$1:$C$1001,,0))</f>
        <v>lrubrow4h@microsoft.com</v>
      </c>
      <c r="H163" s="2" t="str">
        <f>_xlfn.XLOOKUP(C163,customers!$A$1:$A$1001,customers!$G$1:$G$1001,,0)</f>
        <v>United States</v>
      </c>
      <c r="I163" t="str">
        <f>INDEX(products!$A$1:$G$49, MATCH(orders!$D163,products!$A$1:$A$49,0), MATCH(I$1,products!$A$1:$G$1,0))</f>
        <v>Ara</v>
      </c>
      <c r="J163" t="str">
        <f>INDEX(products!$A$1:$G$49, MATCH(orders!$D163,products!$A$1:$A$49,0), MATCH(J$1,products!$A$1:$G$1,0))</f>
        <v>L</v>
      </c>
      <c r="K163" s="4">
        <f>INDEX(products!$A$1:$G$49, MATCH(orders!$D163,products!$A$1:$A$49,0), MATCH(K$1,products!$A$1:$G$1,0))</f>
        <v>0.5</v>
      </c>
      <c r="L163" s="5">
        <f>INDEX(products!$A$1:$G$49, MATCH(orders!$D163,products!$A$1:$A$49,0), MATCH(L$1,products!$A$1:$G$1,0))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 = 0, "", _xlfn.XLOOKUP(C164,customers!$A$1:$A$1001,customers!$C$1:$C$1001,,0))</f>
        <v>dtift4i@netvibes.com</v>
      </c>
      <c r="H164" s="2" t="str">
        <f>_xlfn.XLOOKUP(C164,customers!$A$1:$A$1001,customers!$G$1:$G$1001,,0)</f>
        <v>United States</v>
      </c>
      <c r="I164" t="str">
        <f>INDEX(products!$A$1:$G$49, MATCH(orders!$D164,products!$A$1:$A$49,0), MATCH(I$1,products!$A$1:$G$1,0))</f>
        <v>Exc</v>
      </c>
      <c r="J164" t="str">
        <f>INDEX(products!$A$1:$G$49, MATCH(orders!$D164,products!$A$1:$A$49,0), MATCH(J$1,products!$A$1:$G$1,0))</f>
        <v>D</v>
      </c>
      <c r="K164" s="4">
        <f>INDEX(products!$A$1:$G$49, MATCH(orders!$D164,products!$A$1:$A$49,0), MATCH(K$1,products!$A$1:$G$1,0))</f>
        <v>0.5</v>
      </c>
      <c r="L164" s="5">
        <f>INDEX(products!$A$1:$G$49, MATCH(orders!$D164,products!$A$1:$A$49,0), MATCH(L$1,products!$A$1:$G$1,0))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 = 0, "", _xlfn.XLOOKUP(C165,customers!$A$1:$A$1001,customers!$C$1:$C$1001,,0))</f>
        <v>gschonfeld4j@oracle.com</v>
      </c>
      <c r="H165" s="2" t="str">
        <f>_xlfn.XLOOKUP(C165,customers!$A$1:$A$1001,customers!$G$1:$G$1001,,0)</f>
        <v>United States</v>
      </c>
      <c r="I165" t="str">
        <f>INDEX(products!$A$1:$G$49, MATCH(orders!$D165,products!$A$1:$A$49,0), MATCH(I$1,products!$A$1:$G$1,0))</f>
        <v>Rob</v>
      </c>
      <c r="J165" t="str">
        <f>INDEX(products!$A$1:$G$49, MATCH(orders!$D165,products!$A$1:$A$49,0), MATCH(J$1,products!$A$1:$G$1,0))</f>
        <v>D</v>
      </c>
      <c r="K165" s="4">
        <f>INDEX(products!$A$1:$G$49, MATCH(orders!$D165,products!$A$1:$A$49,0), MATCH(K$1,products!$A$1:$G$1,0))</f>
        <v>0.2</v>
      </c>
      <c r="L165" s="5">
        <f>INDEX(products!$A$1:$G$49, MATCH(orders!$D165,products!$A$1:$A$49,0), MATCH(L$1,products!$A$1:$G$1,0))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 = 0, "", _xlfn.XLOOKUP(C166,customers!$A$1:$A$1001,customers!$C$1:$C$1001,,0))</f>
        <v>cfeye4k@google.co.jp</v>
      </c>
      <c r="H166" s="2" t="str">
        <f>_xlfn.XLOOKUP(C166,customers!$A$1:$A$1001,customers!$G$1:$G$1001,,0)</f>
        <v>Ireland</v>
      </c>
      <c r="I166" t="str">
        <f>INDEX(products!$A$1:$G$49, MATCH(orders!$D166,products!$A$1:$A$49,0), MATCH(I$1,products!$A$1:$G$1,0))</f>
        <v>Exc</v>
      </c>
      <c r="J166" t="str">
        <f>INDEX(products!$A$1:$G$49, MATCH(orders!$D166,products!$A$1:$A$49,0), MATCH(J$1,products!$A$1:$G$1,0))</f>
        <v>D</v>
      </c>
      <c r="K166" s="4">
        <f>INDEX(products!$A$1:$G$49, MATCH(orders!$D166,products!$A$1:$A$49,0), MATCH(K$1,products!$A$1:$G$1,0))</f>
        <v>0.5</v>
      </c>
      <c r="L166" s="5">
        <f>INDEX(products!$A$1:$G$49, MATCH(orders!$D166,products!$A$1:$A$49,0), MATCH(L$1,products!$A$1:$G$1,0))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 = 0, "", _xlfn.XLOOKUP(C167,customers!$A$1:$A$1001,customers!$C$1:$C$1001,,0))</f>
        <v/>
      </c>
      <c r="H167" s="2" t="str">
        <f>_xlfn.XLOOKUP(C167,customers!$A$1:$A$1001,customers!$G$1:$G$1001,,0)</f>
        <v>United States</v>
      </c>
      <c r="I167" t="str">
        <f>INDEX(products!$A$1:$G$49, MATCH(orders!$D167,products!$A$1:$A$49,0), MATCH(I$1,products!$A$1:$G$1,0))</f>
        <v>Rob</v>
      </c>
      <c r="J167" t="str">
        <f>INDEX(products!$A$1:$G$49, MATCH(orders!$D167,products!$A$1:$A$49,0), MATCH(J$1,products!$A$1:$G$1,0))</f>
        <v>D</v>
      </c>
      <c r="K167" s="4">
        <f>INDEX(products!$A$1:$G$49, MATCH(orders!$D167,products!$A$1:$A$49,0), MATCH(K$1,products!$A$1:$G$1,0))</f>
        <v>1</v>
      </c>
      <c r="L167" s="5">
        <f>INDEX(products!$A$1:$G$49, MATCH(orders!$D167,products!$A$1:$A$49,0), MATCH(L$1,products!$A$1:$G$1,0))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 = 0, "", _xlfn.XLOOKUP(C168,customers!$A$1:$A$1001,customers!$C$1:$C$1001,,0))</f>
        <v/>
      </c>
      <c r="H168" s="2" t="str">
        <f>_xlfn.XLOOKUP(C168,customers!$A$1:$A$1001,customers!$G$1:$G$1001,,0)</f>
        <v>United States</v>
      </c>
      <c r="I168" t="str">
        <f>INDEX(products!$A$1:$G$49, MATCH(orders!$D168,products!$A$1:$A$49,0), MATCH(I$1,products!$A$1:$G$1,0))</f>
        <v>Rob</v>
      </c>
      <c r="J168" t="str">
        <f>INDEX(products!$A$1:$G$49, MATCH(orders!$D168,products!$A$1:$A$49,0), MATCH(J$1,products!$A$1:$G$1,0))</f>
        <v>D</v>
      </c>
      <c r="K168" s="4">
        <f>INDEX(products!$A$1:$G$49, MATCH(orders!$D168,products!$A$1:$A$49,0), MATCH(K$1,products!$A$1:$G$1,0))</f>
        <v>0.5</v>
      </c>
      <c r="L168" s="5">
        <f>INDEX(products!$A$1:$G$49, MATCH(orders!$D168,products!$A$1:$A$49,0), MATCH(L$1,products!$A$1:$G$1,0))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 = 0, "", _xlfn.XLOOKUP(C169,customers!$A$1:$A$1001,customers!$C$1:$C$1001,,0))</f>
        <v>tfero4n@comsenz.com</v>
      </c>
      <c r="H169" s="2" t="str">
        <f>_xlfn.XLOOKUP(C169,customers!$A$1:$A$1001,customers!$G$1:$G$1001,,0)</f>
        <v>United States</v>
      </c>
      <c r="I169" t="str">
        <f>INDEX(products!$A$1:$G$49, MATCH(orders!$D169,products!$A$1:$A$49,0), MATCH(I$1,products!$A$1:$G$1,0))</f>
        <v>Exc</v>
      </c>
      <c r="J169" t="str">
        <f>INDEX(products!$A$1:$G$49, MATCH(orders!$D169,products!$A$1:$A$49,0), MATCH(J$1,products!$A$1:$G$1,0))</f>
        <v>M</v>
      </c>
      <c r="K169" s="4">
        <f>INDEX(products!$A$1:$G$49, MATCH(orders!$D169,products!$A$1:$A$49,0), MATCH(K$1,products!$A$1:$G$1,0))</f>
        <v>0.5</v>
      </c>
      <c r="L169" s="5">
        <f>INDEX(products!$A$1:$G$49, MATCH(orders!$D169,products!$A$1:$A$49,0), MATCH(L$1,products!$A$1:$G$1,0))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 = 0, "", _xlfn.XLOOKUP(C170,customers!$A$1:$A$1001,customers!$C$1:$C$1001,,0))</f>
        <v/>
      </c>
      <c r="H170" s="2" t="str">
        <f>_xlfn.XLOOKUP(C170,customers!$A$1:$A$1001,customers!$G$1:$G$1001,,0)</f>
        <v>Ireland</v>
      </c>
      <c r="I170" t="str">
        <f>INDEX(products!$A$1:$G$49, MATCH(orders!$D170,products!$A$1:$A$49,0), MATCH(I$1,products!$A$1:$G$1,0))</f>
        <v>Ara</v>
      </c>
      <c r="J170" t="str">
        <f>INDEX(products!$A$1:$G$49, MATCH(orders!$D170,products!$A$1:$A$49,0), MATCH(J$1,products!$A$1:$G$1,0))</f>
        <v>M</v>
      </c>
      <c r="K170" s="4">
        <f>INDEX(products!$A$1:$G$49, MATCH(orders!$D170,products!$A$1:$A$49,0), MATCH(K$1,products!$A$1:$G$1,0))</f>
        <v>0.5</v>
      </c>
      <c r="L170" s="5">
        <f>INDEX(products!$A$1:$G$49, MATCH(orders!$D170,products!$A$1:$A$49,0), MATCH(L$1,products!$A$1:$G$1,0))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 = 0, "", _xlfn.XLOOKUP(C171,customers!$A$1:$A$1001,customers!$C$1:$C$1001,,0))</f>
        <v>fdauney4p@sphinn.com</v>
      </c>
      <c r="H171" s="2" t="str">
        <f>_xlfn.XLOOKUP(C171,customers!$A$1:$A$1001,customers!$G$1:$G$1001,,0)</f>
        <v>Ireland</v>
      </c>
      <c r="I171" t="str">
        <f>INDEX(products!$A$1:$G$49, MATCH(orders!$D171,products!$A$1:$A$49,0), MATCH(I$1,products!$A$1:$G$1,0))</f>
        <v>Rob</v>
      </c>
      <c r="J171" t="str">
        <f>INDEX(products!$A$1:$G$49, MATCH(orders!$D171,products!$A$1:$A$49,0), MATCH(J$1,products!$A$1:$G$1,0))</f>
        <v>D</v>
      </c>
      <c r="K171" s="4">
        <f>INDEX(products!$A$1:$G$49, MATCH(orders!$D171,products!$A$1:$A$49,0), MATCH(K$1,products!$A$1:$G$1,0))</f>
        <v>1</v>
      </c>
      <c r="L171" s="5">
        <f>INDEX(products!$A$1:$G$49, MATCH(orders!$D171,products!$A$1:$A$49,0), MATCH(L$1,products!$A$1:$G$1,0))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 = 0, "", _xlfn.XLOOKUP(C172,customers!$A$1:$A$1001,customers!$C$1:$C$1001,,0))</f>
        <v>searley4q@youku.com</v>
      </c>
      <c r="H172" s="2" t="str">
        <f>_xlfn.XLOOKUP(C172,customers!$A$1:$A$1001,customers!$G$1:$G$1001,,0)</f>
        <v>United Kingdom</v>
      </c>
      <c r="I172" t="str">
        <f>INDEX(products!$A$1:$G$49, MATCH(orders!$D172,products!$A$1:$A$49,0), MATCH(I$1,products!$A$1:$G$1,0))</f>
        <v>Exc</v>
      </c>
      <c r="J172" t="str">
        <f>INDEX(products!$A$1:$G$49, MATCH(orders!$D172,products!$A$1:$A$49,0), MATCH(J$1,products!$A$1:$G$1,0))</f>
        <v>L</v>
      </c>
      <c r="K172" s="4">
        <f>INDEX(products!$A$1:$G$49, MATCH(orders!$D172,products!$A$1:$A$49,0), MATCH(K$1,products!$A$1:$G$1,0))</f>
        <v>2.5</v>
      </c>
      <c r="L172" s="5">
        <f>INDEX(products!$A$1:$G$49, MATCH(orders!$D172,products!$A$1:$A$49,0), MATCH(L$1,products!$A$1:$G$1,0))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 = 0, "", _xlfn.XLOOKUP(C173,customers!$A$1:$A$1001,customers!$C$1:$C$1001,,0))</f>
        <v>mchamberlayne4r@bigcartel.com</v>
      </c>
      <c r="H173" s="2" t="str">
        <f>_xlfn.XLOOKUP(C173,customers!$A$1:$A$1001,customers!$G$1:$G$1001,,0)</f>
        <v>United States</v>
      </c>
      <c r="I173" t="str">
        <f>INDEX(products!$A$1:$G$49, MATCH(orders!$D173,products!$A$1:$A$49,0), MATCH(I$1,products!$A$1:$G$1,0))</f>
        <v>Exc</v>
      </c>
      <c r="J173" t="str">
        <f>INDEX(products!$A$1:$G$49, MATCH(orders!$D173,products!$A$1:$A$49,0), MATCH(J$1,products!$A$1:$G$1,0))</f>
        <v>M</v>
      </c>
      <c r="K173" s="4">
        <f>INDEX(products!$A$1:$G$49, MATCH(orders!$D173,products!$A$1:$A$49,0), MATCH(K$1,products!$A$1:$G$1,0))</f>
        <v>2.5</v>
      </c>
      <c r="L173" s="5">
        <f>INDEX(products!$A$1:$G$49, MATCH(orders!$D173,products!$A$1:$A$49,0), MATCH(L$1,products!$A$1:$G$1,0))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 = 0, "", _xlfn.XLOOKUP(C174,customers!$A$1:$A$1001,customers!$C$1:$C$1001,,0))</f>
        <v>bflaherty4s@moonfruit.com</v>
      </c>
      <c r="H174" s="2" t="str">
        <f>_xlfn.XLOOKUP(C174,customers!$A$1:$A$1001,customers!$G$1:$G$1001,,0)</f>
        <v>Ireland</v>
      </c>
      <c r="I174" t="str">
        <f>INDEX(products!$A$1:$G$49, MATCH(orders!$D174,products!$A$1:$A$49,0), MATCH(I$1,products!$A$1:$G$1,0))</f>
        <v>Exc</v>
      </c>
      <c r="J174" t="str">
        <f>INDEX(products!$A$1:$G$49, MATCH(orders!$D174,products!$A$1:$A$49,0), MATCH(J$1,products!$A$1:$G$1,0))</f>
        <v>D</v>
      </c>
      <c r="K174" s="4">
        <f>INDEX(products!$A$1:$G$49, MATCH(orders!$D174,products!$A$1:$A$49,0), MATCH(K$1,products!$A$1:$G$1,0))</f>
        <v>0.5</v>
      </c>
      <c r="L174" s="5">
        <f>INDEX(products!$A$1:$G$49, MATCH(orders!$D174,products!$A$1:$A$49,0), MATCH(L$1,products!$A$1:$G$1,0))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 = 0, "", _xlfn.XLOOKUP(C175,customers!$A$1:$A$1001,customers!$C$1:$C$1001,,0))</f>
        <v>ocolbeck4t@sina.com.cn</v>
      </c>
      <c r="H175" s="2" t="str">
        <f>_xlfn.XLOOKUP(C175,customers!$A$1:$A$1001,customers!$G$1:$G$1001,,0)</f>
        <v>United States</v>
      </c>
      <c r="I175" t="str">
        <f>INDEX(products!$A$1:$G$49, MATCH(orders!$D175,products!$A$1:$A$49,0), MATCH(I$1,products!$A$1:$G$1,0))</f>
        <v>Rob</v>
      </c>
      <c r="J175" t="str">
        <f>INDEX(products!$A$1:$G$49, MATCH(orders!$D175,products!$A$1:$A$49,0), MATCH(J$1,products!$A$1:$G$1,0))</f>
        <v>M</v>
      </c>
      <c r="K175" s="4">
        <f>INDEX(products!$A$1:$G$49, MATCH(orders!$D175,products!$A$1:$A$49,0), MATCH(K$1,products!$A$1:$G$1,0))</f>
        <v>2.5</v>
      </c>
      <c r="L175" s="5">
        <f>INDEX(products!$A$1:$G$49, MATCH(orders!$D175,products!$A$1:$A$49,0), MATCH(L$1,products!$A$1:$G$1,0))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 = 0, "", _xlfn.XLOOKUP(C176,customers!$A$1:$A$1001,customers!$C$1:$C$1001,,0))</f>
        <v/>
      </c>
      <c r="H176" s="2" t="str">
        <f>_xlfn.XLOOKUP(C176,customers!$A$1:$A$1001,customers!$G$1:$G$1001,,0)</f>
        <v>United States</v>
      </c>
      <c r="I176" t="str">
        <f>INDEX(products!$A$1:$G$49, MATCH(orders!$D176,products!$A$1:$A$49,0), MATCH(I$1,products!$A$1:$G$1,0))</f>
        <v>Exc</v>
      </c>
      <c r="J176" t="str">
        <f>INDEX(products!$A$1:$G$49, MATCH(orders!$D176,products!$A$1:$A$49,0), MATCH(J$1,products!$A$1:$G$1,0))</f>
        <v>L</v>
      </c>
      <c r="K176" s="4">
        <f>INDEX(products!$A$1:$G$49, MATCH(orders!$D176,products!$A$1:$A$49,0), MATCH(K$1,products!$A$1:$G$1,0))</f>
        <v>2.5</v>
      </c>
      <c r="L176" s="5">
        <f>INDEX(products!$A$1:$G$49, MATCH(orders!$D176,products!$A$1:$A$49,0), MATCH(L$1,products!$A$1:$G$1,0))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 = 0, "", _xlfn.XLOOKUP(C177,customers!$A$1:$A$1001,customers!$C$1:$C$1001,,0))</f>
        <v>ehobbing4v@nsw.gov.au</v>
      </c>
      <c r="H177" s="2" t="str">
        <f>_xlfn.XLOOKUP(C177,customers!$A$1:$A$1001,customers!$G$1:$G$1001,,0)</f>
        <v>United States</v>
      </c>
      <c r="I177" t="str">
        <f>INDEX(products!$A$1:$G$49, MATCH(orders!$D177,products!$A$1:$A$49,0), MATCH(I$1,products!$A$1:$G$1,0))</f>
        <v>Exc</v>
      </c>
      <c r="J177" t="str">
        <f>INDEX(products!$A$1:$G$49, MATCH(orders!$D177,products!$A$1:$A$49,0), MATCH(J$1,products!$A$1:$G$1,0))</f>
        <v>M</v>
      </c>
      <c r="K177" s="4">
        <f>INDEX(products!$A$1:$G$49, MATCH(orders!$D177,products!$A$1:$A$49,0), MATCH(K$1,products!$A$1:$G$1,0))</f>
        <v>2.5</v>
      </c>
      <c r="L177" s="5">
        <f>INDEX(products!$A$1:$G$49, MATCH(orders!$D177,products!$A$1:$A$49,0), MATCH(L$1,products!$A$1:$G$1,0))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 = 0, "", _xlfn.XLOOKUP(C178,customers!$A$1:$A$1001,customers!$C$1:$C$1001,,0))</f>
        <v>othynne4w@auda.org.au</v>
      </c>
      <c r="H178" s="2" t="str">
        <f>_xlfn.XLOOKUP(C178,customers!$A$1:$A$1001,customers!$G$1:$G$1001,,0)</f>
        <v>United States</v>
      </c>
      <c r="I178" t="str">
        <f>INDEX(products!$A$1:$G$49, MATCH(orders!$D178,products!$A$1:$A$49,0), MATCH(I$1,products!$A$1:$G$1,0))</f>
        <v>Exc</v>
      </c>
      <c r="J178" t="str">
        <f>INDEX(products!$A$1:$G$49, MATCH(orders!$D178,products!$A$1:$A$49,0), MATCH(J$1,products!$A$1:$G$1,0))</f>
        <v>L</v>
      </c>
      <c r="K178" s="4">
        <f>INDEX(products!$A$1:$G$49, MATCH(orders!$D178,products!$A$1:$A$49,0), MATCH(K$1,products!$A$1:$G$1,0))</f>
        <v>2.5</v>
      </c>
      <c r="L178" s="5">
        <f>INDEX(products!$A$1:$G$49, MATCH(orders!$D178,products!$A$1:$A$49,0), MATCH(L$1,products!$A$1:$G$1,0))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 = 0, "", _xlfn.XLOOKUP(C179,customers!$A$1:$A$1001,customers!$C$1:$C$1001,,0))</f>
        <v>eheining4x@flickr.com</v>
      </c>
      <c r="H179" s="2" t="str">
        <f>_xlfn.XLOOKUP(C179,customers!$A$1:$A$1001,customers!$G$1:$G$1001,,0)</f>
        <v>United States</v>
      </c>
      <c r="I179" t="str">
        <f>INDEX(products!$A$1:$G$49, MATCH(orders!$D179,products!$A$1:$A$49,0), MATCH(I$1,products!$A$1:$G$1,0))</f>
        <v>Rob</v>
      </c>
      <c r="J179" t="str">
        <f>INDEX(products!$A$1:$G$49, MATCH(orders!$D179,products!$A$1:$A$49,0), MATCH(J$1,products!$A$1:$G$1,0))</f>
        <v>L</v>
      </c>
      <c r="K179" s="4">
        <f>INDEX(products!$A$1:$G$49, MATCH(orders!$D179,products!$A$1:$A$49,0), MATCH(K$1,products!$A$1:$G$1,0))</f>
        <v>2.5</v>
      </c>
      <c r="L179" s="5">
        <f>INDEX(products!$A$1:$G$49, MATCH(orders!$D179,products!$A$1:$A$49,0), MATCH(L$1,products!$A$1:$G$1,0))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 = 0, "", _xlfn.XLOOKUP(C180,customers!$A$1:$A$1001,customers!$C$1:$C$1001,,0))</f>
        <v>kmelloi4y@imdb.com</v>
      </c>
      <c r="H180" s="2" t="str">
        <f>_xlfn.XLOOKUP(C180,customers!$A$1:$A$1001,customers!$G$1:$G$1001,,0)</f>
        <v>United States</v>
      </c>
      <c r="I180" t="str">
        <f>INDEX(products!$A$1:$G$49, MATCH(orders!$D180,products!$A$1:$A$49,0), MATCH(I$1,products!$A$1:$G$1,0))</f>
        <v>Ara</v>
      </c>
      <c r="J180" t="str">
        <f>INDEX(products!$A$1:$G$49, MATCH(orders!$D180,products!$A$1:$A$49,0), MATCH(J$1,products!$A$1:$G$1,0))</f>
        <v>L</v>
      </c>
      <c r="K180" s="4">
        <f>INDEX(products!$A$1:$G$49, MATCH(orders!$D180,products!$A$1:$A$49,0), MATCH(K$1,products!$A$1:$G$1,0))</f>
        <v>1</v>
      </c>
      <c r="L180" s="5">
        <f>INDEX(products!$A$1:$G$49, MATCH(orders!$D180,products!$A$1:$A$49,0), MATCH(L$1,products!$A$1:$G$1,0))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 = 0, "", _xlfn.XLOOKUP(C181,customers!$A$1:$A$1001,customers!$C$1:$C$1001,,0))</f>
        <v/>
      </c>
      <c r="H181" s="2" t="str">
        <f>_xlfn.XLOOKUP(C181,customers!$A$1:$A$1001,customers!$G$1:$G$1001,,0)</f>
        <v>Ireland</v>
      </c>
      <c r="I181" t="str">
        <f>INDEX(products!$A$1:$G$49, MATCH(orders!$D181,products!$A$1:$A$49,0), MATCH(I$1,products!$A$1:$G$1,0))</f>
        <v>Ara</v>
      </c>
      <c r="J181" t="str">
        <f>INDEX(products!$A$1:$G$49, MATCH(orders!$D181,products!$A$1:$A$49,0), MATCH(J$1,products!$A$1:$G$1,0))</f>
        <v>D</v>
      </c>
      <c r="K181" s="4">
        <f>INDEX(products!$A$1:$G$49, MATCH(orders!$D181,products!$A$1:$A$49,0), MATCH(K$1,products!$A$1:$G$1,0))</f>
        <v>0.2</v>
      </c>
      <c r="L181" s="5">
        <f>INDEX(products!$A$1:$G$49, MATCH(orders!$D181,products!$A$1:$A$49,0), MATCH(L$1,products!$A$1:$G$1,0))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 = 0, "", _xlfn.XLOOKUP(C182,customers!$A$1:$A$1001,customers!$C$1:$C$1001,,0))</f>
        <v>amussen50@51.la</v>
      </c>
      <c r="H182" s="2" t="str">
        <f>_xlfn.XLOOKUP(C182,customers!$A$1:$A$1001,customers!$G$1:$G$1001,,0)</f>
        <v>United States</v>
      </c>
      <c r="I182" t="str">
        <f>INDEX(products!$A$1:$G$49, MATCH(orders!$D182,products!$A$1:$A$49,0), MATCH(I$1,products!$A$1:$G$1,0))</f>
        <v>Exc</v>
      </c>
      <c r="J182" t="str">
        <f>INDEX(products!$A$1:$G$49, MATCH(orders!$D182,products!$A$1:$A$49,0), MATCH(J$1,products!$A$1:$G$1,0))</f>
        <v>L</v>
      </c>
      <c r="K182" s="4">
        <f>INDEX(products!$A$1:$G$49, MATCH(orders!$D182,products!$A$1:$A$49,0), MATCH(K$1,products!$A$1:$G$1,0))</f>
        <v>0.2</v>
      </c>
      <c r="L182" s="5">
        <f>INDEX(products!$A$1:$G$49, MATCH(orders!$D182,products!$A$1:$A$49,0), MATCH(L$1,products!$A$1:$G$1,0))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 = 0, "", _xlfn.XLOOKUP(C183,customers!$A$1:$A$1001,customers!$C$1:$C$1001,,0))</f>
        <v>amussen50@51.la</v>
      </c>
      <c r="H183" s="2" t="str">
        <f>_xlfn.XLOOKUP(C183,customers!$A$1:$A$1001,customers!$G$1:$G$1001,,0)</f>
        <v>United States</v>
      </c>
      <c r="I183" t="str">
        <f>INDEX(products!$A$1:$G$49, MATCH(orders!$D183,products!$A$1:$A$49,0), MATCH(I$1,products!$A$1:$G$1,0))</f>
        <v>Ara</v>
      </c>
      <c r="J183" t="str">
        <f>INDEX(products!$A$1:$G$49, MATCH(orders!$D183,products!$A$1:$A$49,0), MATCH(J$1,products!$A$1:$G$1,0))</f>
        <v>D</v>
      </c>
      <c r="K183" s="4">
        <f>INDEX(products!$A$1:$G$49, MATCH(orders!$D183,products!$A$1:$A$49,0), MATCH(K$1,products!$A$1:$G$1,0))</f>
        <v>0.5</v>
      </c>
      <c r="L183" s="5">
        <f>INDEX(products!$A$1:$G$49, MATCH(orders!$D183,products!$A$1:$A$49,0), MATCH(L$1,products!$A$1:$G$1,0))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 = 0, "", _xlfn.XLOOKUP(C184,customers!$A$1:$A$1001,customers!$C$1:$C$1001,,0))</f>
        <v>amundford52@nbcnews.com</v>
      </c>
      <c r="H184" s="2" t="str">
        <f>_xlfn.XLOOKUP(C184,customers!$A$1:$A$1001,customers!$G$1:$G$1001,,0)</f>
        <v>United States</v>
      </c>
      <c r="I184" t="str">
        <f>INDEX(products!$A$1:$G$49, MATCH(orders!$D184,products!$A$1:$A$49,0), MATCH(I$1,products!$A$1:$G$1,0))</f>
        <v>Rob</v>
      </c>
      <c r="J184" t="str">
        <f>INDEX(products!$A$1:$G$49, MATCH(orders!$D184,products!$A$1:$A$49,0), MATCH(J$1,products!$A$1:$G$1,0))</f>
        <v>D</v>
      </c>
      <c r="K184" s="4">
        <f>INDEX(products!$A$1:$G$49, MATCH(orders!$D184,products!$A$1:$A$49,0), MATCH(K$1,products!$A$1:$G$1,0))</f>
        <v>0.5</v>
      </c>
      <c r="L184" s="5">
        <f>INDEX(products!$A$1:$G$49, MATCH(orders!$D184,products!$A$1:$A$49,0), MATCH(L$1,products!$A$1:$G$1,0))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 = 0, "", _xlfn.XLOOKUP(C185,customers!$A$1:$A$1001,customers!$C$1:$C$1001,,0))</f>
        <v>twalas53@google.ca</v>
      </c>
      <c r="H185" s="2" t="str">
        <f>_xlfn.XLOOKUP(C185,customers!$A$1:$A$1001,customers!$G$1:$G$1001,,0)</f>
        <v>United States</v>
      </c>
      <c r="I185" t="str">
        <f>INDEX(products!$A$1:$G$49, MATCH(orders!$D185,products!$A$1:$A$49,0), MATCH(I$1,products!$A$1:$G$1,0))</f>
        <v>Exc</v>
      </c>
      <c r="J185" t="str">
        <f>INDEX(products!$A$1:$G$49, MATCH(orders!$D185,products!$A$1:$A$49,0), MATCH(J$1,products!$A$1:$G$1,0))</f>
        <v>M</v>
      </c>
      <c r="K185" s="4">
        <f>INDEX(products!$A$1:$G$49, MATCH(orders!$D185,products!$A$1:$A$49,0), MATCH(K$1,products!$A$1:$G$1,0))</f>
        <v>0.2</v>
      </c>
      <c r="L185" s="5">
        <f>INDEX(products!$A$1:$G$49, MATCH(orders!$D185,products!$A$1:$A$49,0), MATCH(L$1,products!$A$1:$G$1,0))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 = 0, "", _xlfn.XLOOKUP(C186,customers!$A$1:$A$1001,customers!$C$1:$C$1001,,0))</f>
        <v>iblazewicz54@thetimes.co.uk</v>
      </c>
      <c r="H186" s="2" t="str">
        <f>_xlfn.XLOOKUP(C186,customers!$A$1:$A$1001,customers!$G$1:$G$1001,,0)</f>
        <v>United States</v>
      </c>
      <c r="I186" t="str">
        <f>INDEX(products!$A$1:$G$49, MATCH(orders!$D186,products!$A$1:$A$49,0), MATCH(I$1,products!$A$1:$G$1,0))</f>
        <v>Ara</v>
      </c>
      <c r="J186" t="str">
        <f>INDEX(products!$A$1:$G$49, MATCH(orders!$D186,products!$A$1:$A$49,0), MATCH(J$1,products!$A$1:$G$1,0))</f>
        <v>L</v>
      </c>
      <c r="K186" s="4">
        <f>INDEX(products!$A$1:$G$49, MATCH(orders!$D186,products!$A$1:$A$49,0), MATCH(K$1,products!$A$1:$G$1,0))</f>
        <v>0.5</v>
      </c>
      <c r="L186" s="5">
        <f>INDEX(products!$A$1:$G$49, MATCH(orders!$D186,products!$A$1:$A$49,0), MATCH(L$1,products!$A$1:$G$1,0))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 = 0, "", _xlfn.XLOOKUP(C187,customers!$A$1:$A$1001,customers!$C$1:$C$1001,,0))</f>
        <v>arizzetti55@naver.com</v>
      </c>
      <c r="H187" s="2" t="str">
        <f>_xlfn.XLOOKUP(C187,customers!$A$1:$A$1001,customers!$G$1:$G$1001,,0)</f>
        <v>United States</v>
      </c>
      <c r="I187" t="str">
        <f>INDEX(products!$A$1:$G$49, MATCH(orders!$D187,products!$A$1:$A$49,0), MATCH(I$1,products!$A$1:$G$1,0))</f>
        <v>Exc</v>
      </c>
      <c r="J187" t="str">
        <f>INDEX(products!$A$1:$G$49, MATCH(orders!$D187,products!$A$1:$A$49,0), MATCH(J$1,products!$A$1:$G$1,0))</f>
        <v>D</v>
      </c>
      <c r="K187" s="4">
        <f>INDEX(products!$A$1:$G$49, MATCH(orders!$D187,products!$A$1:$A$49,0), MATCH(K$1,products!$A$1:$G$1,0))</f>
        <v>0.5</v>
      </c>
      <c r="L187" s="5">
        <f>INDEX(products!$A$1:$G$49, MATCH(orders!$D187,products!$A$1:$A$49,0), MATCH(L$1,products!$A$1:$G$1,0))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 = 0, "", _xlfn.XLOOKUP(C188,customers!$A$1:$A$1001,customers!$C$1:$C$1001,,0))</f>
        <v>mmeriet56@noaa.gov</v>
      </c>
      <c r="H188" s="2" t="str">
        <f>_xlfn.XLOOKUP(C188,customers!$A$1:$A$1001,customers!$G$1:$G$1001,,0)</f>
        <v>United States</v>
      </c>
      <c r="I188" t="str">
        <f>INDEX(products!$A$1:$G$49, MATCH(orders!$D188,products!$A$1:$A$49,0), MATCH(I$1,products!$A$1:$G$1,0))</f>
        <v>Rob</v>
      </c>
      <c r="J188" t="str">
        <f>INDEX(products!$A$1:$G$49, MATCH(orders!$D188,products!$A$1:$A$49,0), MATCH(J$1,products!$A$1:$G$1,0))</f>
        <v>M</v>
      </c>
      <c r="K188" s="4">
        <f>INDEX(products!$A$1:$G$49, MATCH(orders!$D188,products!$A$1:$A$49,0), MATCH(K$1,products!$A$1:$G$1,0))</f>
        <v>2.5</v>
      </c>
      <c r="L188" s="5">
        <f>INDEX(products!$A$1:$G$49, MATCH(orders!$D188,products!$A$1:$A$49,0), MATCH(L$1,products!$A$1:$G$1,0))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 = 0, "", _xlfn.XLOOKUP(C189,customers!$A$1:$A$1001,customers!$C$1:$C$1001,,0))</f>
        <v>lpratt57@netvibes.com</v>
      </c>
      <c r="H189" s="2" t="str">
        <f>_xlfn.XLOOKUP(C189,customers!$A$1:$A$1001,customers!$G$1:$G$1001,,0)</f>
        <v>United States</v>
      </c>
      <c r="I189" t="str">
        <f>INDEX(products!$A$1:$G$49, MATCH(orders!$D189,products!$A$1:$A$49,0), MATCH(I$1,products!$A$1:$G$1,0))</f>
        <v>Lib</v>
      </c>
      <c r="J189" t="str">
        <f>INDEX(products!$A$1:$G$49, MATCH(orders!$D189,products!$A$1:$A$49,0), MATCH(J$1,products!$A$1:$G$1,0))</f>
        <v>M</v>
      </c>
      <c r="K189" s="4">
        <f>INDEX(products!$A$1:$G$49, MATCH(orders!$D189,products!$A$1:$A$49,0), MATCH(K$1,products!$A$1:$G$1,0))</f>
        <v>0.5</v>
      </c>
      <c r="L189" s="5">
        <f>INDEX(products!$A$1:$G$49, MATCH(orders!$D189,products!$A$1:$A$49,0), MATCH(L$1,products!$A$1:$G$1,0))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 = 0, "", _xlfn.XLOOKUP(C190,customers!$A$1:$A$1001,customers!$C$1:$C$1001,,0))</f>
        <v>akitchingham58@com.com</v>
      </c>
      <c r="H190" s="2" t="str">
        <f>_xlfn.XLOOKUP(C190,customers!$A$1:$A$1001,customers!$G$1:$G$1001,,0)</f>
        <v>United States</v>
      </c>
      <c r="I190" t="str">
        <f>INDEX(products!$A$1:$G$49, MATCH(orders!$D190,products!$A$1:$A$49,0), MATCH(I$1,products!$A$1:$G$1,0))</f>
        <v>Exc</v>
      </c>
      <c r="J190" t="str">
        <f>INDEX(products!$A$1:$G$49, MATCH(orders!$D190,products!$A$1:$A$49,0), MATCH(J$1,products!$A$1:$G$1,0))</f>
        <v>L</v>
      </c>
      <c r="K190" s="4">
        <f>INDEX(products!$A$1:$G$49, MATCH(orders!$D190,products!$A$1:$A$49,0), MATCH(K$1,products!$A$1:$G$1,0))</f>
        <v>0.2</v>
      </c>
      <c r="L190" s="5">
        <f>INDEX(products!$A$1:$G$49, MATCH(orders!$D190,products!$A$1:$A$49,0), MATCH(L$1,products!$A$1:$G$1,0))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 = 0, "", _xlfn.XLOOKUP(C191,customers!$A$1:$A$1001,customers!$C$1:$C$1001,,0))</f>
        <v>bbartholin59@xinhuanet.com</v>
      </c>
      <c r="H191" s="2" t="str">
        <f>_xlfn.XLOOKUP(C191,customers!$A$1:$A$1001,customers!$G$1:$G$1001,,0)</f>
        <v>United States</v>
      </c>
      <c r="I191" t="str">
        <f>INDEX(products!$A$1:$G$49, MATCH(orders!$D191,products!$A$1:$A$49,0), MATCH(I$1,products!$A$1:$G$1,0))</f>
        <v>Lib</v>
      </c>
      <c r="J191" t="str">
        <f>INDEX(products!$A$1:$G$49, MATCH(orders!$D191,products!$A$1:$A$49,0), MATCH(J$1,products!$A$1:$G$1,0))</f>
        <v>M</v>
      </c>
      <c r="K191" s="4">
        <f>INDEX(products!$A$1:$G$49, MATCH(orders!$D191,products!$A$1:$A$49,0), MATCH(K$1,products!$A$1:$G$1,0))</f>
        <v>1</v>
      </c>
      <c r="L191" s="5">
        <f>INDEX(products!$A$1:$G$49, MATCH(orders!$D191,products!$A$1:$A$49,0), MATCH(L$1,products!$A$1:$G$1,0))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 = 0, "", _xlfn.XLOOKUP(C192,customers!$A$1:$A$1001,customers!$C$1:$C$1001,,0))</f>
        <v>mprinn5a@usa.gov</v>
      </c>
      <c r="H192" s="2" t="str">
        <f>_xlfn.XLOOKUP(C192,customers!$A$1:$A$1001,customers!$G$1:$G$1001,,0)</f>
        <v>United States</v>
      </c>
      <c r="I192" t="str">
        <f>INDEX(products!$A$1:$G$49, MATCH(orders!$D192,products!$A$1:$A$49,0), MATCH(I$1,products!$A$1:$G$1,0))</f>
        <v>Lib</v>
      </c>
      <c r="J192" t="str">
        <f>INDEX(products!$A$1:$G$49, MATCH(orders!$D192,products!$A$1:$A$49,0), MATCH(J$1,products!$A$1:$G$1,0))</f>
        <v>M</v>
      </c>
      <c r="K192" s="4">
        <f>INDEX(products!$A$1:$G$49, MATCH(orders!$D192,products!$A$1:$A$49,0), MATCH(K$1,products!$A$1:$G$1,0))</f>
        <v>2.5</v>
      </c>
      <c r="L192" s="5">
        <f>INDEX(products!$A$1:$G$49, MATCH(orders!$D192,products!$A$1:$A$49,0), MATCH(L$1,products!$A$1:$G$1,0))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 = 0, "", _xlfn.XLOOKUP(C193,customers!$A$1:$A$1001,customers!$C$1:$C$1001,,0))</f>
        <v>abaudino5b@netvibes.com</v>
      </c>
      <c r="H193" s="2" t="str">
        <f>_xlfn.XLOOKUP(C193,customers!$A$1:$A$1001,customers!$G$1:$G$1001,,0)</f>
        <v>United States</v>
      </c>
      <c r="I193" t="str">
        <f>INDEX(products!$A$1:$G$49, MATCH(orders!$D193,products!$A$1:$A$49,0), MATCH(I$1,products!$A$1:$G$1,0))</f>
        <v>Lib</v>
      </c>
      <c r="J193" t="str">
        <f>INDEX(products!$A$1:$G$49, MATCH(orders!$D193,products!$A$1:$A$49,0), MATCH(J$1,products!$A$1:$G$1,0))</f>
        <v>D</v>
      </c>
      <c r="K193" s="4">
        <f>INDEX(products!$A$1:$G$49, MATCH(orders!$D193,products!$A$1:$A$49,0), MATCH(K$1,products!$A$1:$G$1,0))</f>
        <v>0.2</v>
      </c>
      <c r="L193" s="5">
        <f>INDEX(products!$A$1:$G$49, MATCH(orders!$D193,products!$A$1:$A$49,0), MATCH(L$1,products!$A$1:$G$1,0))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 = 0, "", _xlfn.XLOOKUP(C194,customers!$A$1:$A$1001,customers!$C$1:$C$1001,,0))</f>
        <v>ppetrushanko5c@blinklist.com</v>
      </c>
      <c r="H194" s="2" t="str">
        <f>_xlfn.XLOOKUP(C194,customers!$A$1:$A$1001,customers!$G$1:$G$1001,,0)</f>
        <v>Ireland</v>
      </c>
      <c r="I194" t="str">
        <f>INDEX(products!$A$1:$G$49, MATCH(orders!$D194,products!$A$1:$A$49,0), MATCH(I$1,products!$A$1:$G$1,0))</f>
        <v>Exc</v>
      </c>
      <c r="J194" t="str">
        <f>INDEX(products!$A$1:$G$49, MATCH(orders!$D194,products!$A$1:$A$49,0), MATCH(J$1,products!$A$1:$G$1,0))</f>
        <v>D</v>
      </c>
      <c r="K194" s="4">
        <f>INDEX(products!$A$1:$G$49, MATCH(orders!$D194,products!$A$1:$A$49,0), MATCH(K$1,products!$A$1:$G$1,0))</f>
        <v>1</v>
      </c>
      <c r="L194" s="5">
        <f>INDEX(products!$A$1:$G$49, MATCH(orders!$D194,products!$A$1:$A$49,0), MATCH(L$1,products!$A$1:$G$1,0))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 = 0, "", _xlfn.XLOOKUP(C195,customers!$A$1:$A$1001,customers!$C$1:$C$1001,,0))</f>
        <v/>
      </c>
      <c r="H195" s="2" t="str">
        <f>_xlfn.XLOOKUP(C195,customers!$A$1:$A$1001,customers!$G$1:$G$1001,,0)</f>
        <v>United States</v>
      </c>
      <c r="I195" t="str">
        <f>INDEX(products!$A$1:$G$49, MATCH(orders!$D195,products!$A$1:$A$49,0), MATCH(I$1,products!$A$1:$G$1,0))</f>
        <v>Exc</v>
      </c>
      <c r="J195" t="str">
        <f>INDEX(products!$A$1:$G$49, MATCH(orders!$D195,products!$A$1:$A$49,0), MATCH(J$1,products!$A$1:$G$1,0))</f>
        <v>L</v>
      </c>
      <c r="K195" s="4">
        <f>INDEX(products!$A$1:$G$49, MATCH(orders!$D195,products!$A$1:$A$49,0), MATCH(K$1,products!$A$1:$G$1,0))</f>
        <v>1</v>
      </c>
      <c r="L195" s="5">
        <f>INDEX(products!$A$1:$G$49, MATCH(orders!$D195,products!$A$1:$A$49,0), MATCH(L$1,products!$A$1:$G$1,0))</f>
        <v>14.85</v>
      </c>
      <c r="M195" s="5">
        <f t="shared" ref="M195:M258" si="9">L195*E195</f>
        <v>44.55</v>
      </c>
      <c r="N195" t="str">
        <f t="shared" ref="N195:N258" si="10">IF(I195="Rob", "Robusta", IF(I195 = "Exc", "Excelsa", IF(I195 = "Ara", "Arabica", IF(I195 = "Lib", "Liberica", ""))))</f>
        <v>Excelsa</v>
      </c>
      <c r="O195" t="str">
        <f t="shared" ref="O195:O258" si="11">IF(J195 = "M", "Medium", IF(J195 = "L", "Light", IF( J195 = "D", "Dark", "")))</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 = 0, "", _xlfn.XLOOKUP(C196,customers!$A$1:$A$1001,customers!$C$1:$C$1001,,0))</f>
        <v>elaird5e@bing.com</v>
      </c>
      <c r="H196" s="2" t="str">
        <f>_xlfn.XLOOKUP(C196,customers!$A$1:$A$1001,customers!$G$1:$G$1001,,0)</f>
        <v>United States</v>
      </c>
      <c r="I196" t="str">
        <f>INDEX(products!$A$1:$G$49, MATCH(orders!$D196,products!$A$1:$A$49,0), MATCH(I$1,products!$A$1:$G$1,0))</f>
        <v>Exc</v>
      </c>
      <c r="J196" t="str">
        <f>INDEX(products!$A$1:$G$49, MATCH(orders!$D196,products!$A$1:$A$49,0), MATCH(J$1,products!$A$1:$G$1,0))</f>
        <v>D</v>
      </c>
      <c r="K196" s="4">
        <f>INDEX(products!$A$1:$G$49, MATCH(orders!$D196,products!$A$1:$A$49,0), MATCH(K$1,products!$A$1:$G$1,0))</f>
        <v>0.5</v>
      </c>
      <c r="L196" s="5">
        <f>INDEX(products!$A$1:$G$49, MATCH(orders!$D196,products!$A$1:$A$49,0), MATCH(L$1,products!$A$1:$G$1,0))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 = 0, "", _xlfn.XLOOKUP(C197,customers!$A$1:$A$1001,customers!$C$1:$C$1001,,0))</f>
        <v>mhowsden5f@infoseek.co.jp</v>
      </c>
      <c r="H197" s="2" t="str">
        <f>_xlfn.XLOOKUP(C197,customers!$A$1:$A$1001,customers!$G$1:$G$1001,,0)</f>
        <v>United States</v>
      </c>
      <c r="I197" t="str">
        <f>INDEX(products!$A$1:$G$49, MATCH(orders!$D197,products!$A$1:$A$49,0), MATCH(I$1,products!$A$1:$G$1,0))</f>
        <v>Ara</v>
      </c>
      <c r="J197" t="str">
        <f>INDEX(products!$A$1:$G$49, MATCH(orders!$D197,products!$A$1:$A$49,0), MATCH(J$1,products!$A$1:$G$1,0))</f>
        <v>L</v>
      </c>
      <c r="K197" s="4">
        <f>INDEX(products!$A$1:$G$49, MATCH(orders!$D197,products!$A$1:$A$49,0), MATCH(K$1,products!$A$1:$G$1,0))</f>
        <v>1</v>
      </c>
      <c r="L197" s="5">
        <f>INDEX(products!$A$1:$G$49, MATCH(orders!$D197,products!$A$1:$A$49,0), MATCH(L$1,products!$A$1:$G$1,0))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 = 0, "", _xlfn.XLOOKUP(C198,customers!$A$1:$A$1001,customers!$C$1:$C$1001,,0))</f>
        <v>ncuttler5g@parallels.com</v>
      </c>
      <c r="H198" s="2" t="str">
        <f>_xlfn.XLOOKUP(C198,customers!$A$1:$A$1001,customers!$G$1:$G$1001,,0)</f>
        <v>United States</v>
      </c>
      <c r="I198" t="str">
        <f>INDEX(products!$A$1:$G$49, MATCH(orders!$D198,products!$A$1:$A$49,0), MATCH(I$1,products!$A$1:$G$1,0))</f>
        <v>Exc</v>
      </c>
      <c r="J198" t="str">
        <f>INDEX(products!$A$1:$G$49, MATCH(orders!$D198,products!$A$1:$A$49,0), MATCH(J$1,products!$A$1:$G$1,0))</f>
        <v>L</v>
      </c>
      <c r="K198" s="4">
        <f>INDEX(products!$A$1:$G$49, MATCH(orders!$D198,products!$A$1:$A$49,0), MATCH(K$1,products!$A$1:$G$1,0))</f>
        <v>0.5</v>
      </c>
      <c r="L198" s="5">
        <f>INDEX(products!$A$1:$G$49, MATCH(orders!$D198,products!$A$1:$A$49,0), MATCH(L$1,products!$A$1:$G$1,0))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 = 0, "", _xlfn.XLOOKUP(C199,customers!$A$1:$A$1001,customers!$C$1:$C$1001,,0))</f>
        <v>ncuttler5g@parallels.com</v>
      </c>
      <c r="H199" s="2" t="str">
        <f>_xlfn.XLOOKUP(C199,customers!$A$1:$A$1001,customers!$G$1:$G$1001,,0)</f>
        <v>United States</v>
      </c>
      <c r="I199" t="str">
        <f>INDEX(products!$A$1:$G$49, MATCH(orders!$D199,products!$A$1:$A$49,0), MATCH(I$1,products!$A$1:$G$1,0))</f>
        <v>Lib</v>
      </c>
      <c r="J199" t="str">
        <f>INDEX(products!$A$1:$G$49, MATCH(orders!$D199,products!$A$1:$A$49,0), MATCH(J$1,products!$A$1:$G$1,0))</f>
        <v>D</v>
      </c>
      <c r="K199" s="4">
        <f>INDEX(products!$A$1:$G$49, MATCH(orders!$D199,products!$A$1:$A$49,0), MATCH(K$1,products!$A$1:$G$1,0))</f>
        <v>2.5</v>
      </c>
      <c r="L199" s="5">
        <f>INDEX(products!$A$1:$G$49, MATCH(orders!$D199,products!$A$1:$A$49,0), MATCH(L$1,products!$A$1:$G$1,0))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 = 0, "", _xlfn.XLOOKUP(C200,customers!$A$1:$A$1001,customers!$C$1:$C$1001,,0))</f>
        <v>ncuttler5g@parallels.com</v>
      </c>
      <c r="H200" s="2" t="str">
        <f>_xlfn.XLOOKUP(C200,customers!$A$1:$A$1001,customers!$G$1:$G$1001,,0)</f>
        <v>United States</v>
      </c>
      <c r="I200" t="str">
        <f>INDEX(products!$A$1:$G$49, MATCH(orders!$D200,products!$A$1:$A$49,0), MATCH(I$1,products!$A$1:$G$1,0))</f>
        <v>Lib</v>
      </c>
      <c r="J200" t="str">
        <f>INDEX(products!$A$1:$G$49, MATCH(orders!$D200,products!$A$1:$A$49,0), MATCH(J$1,products!$A$1:$G$1,0))</f>
        <v>D</v>
      </c>
      <c r="K200" s="4">
        <f>INDEX(products!$A$1:$G$49, MATCH(orders!$D200,products!$A$1:$A$49,0), MATCH(K$1,products!$A$1:$G$1,0))</f>
        <v>2.5</v>
      </c>
      <c r="L200" s="5">
        <f>INDEX(products!$A$1:$G$49, MATCH(orders!$D200,products!$A$1:$A$49,0), MATCH(L$1,products!$A$1:$G$1,0))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 = 0, "", _xlfn.XLOOKUP(C201,customers!$A$1:$A$1001,customers!$C$1:$C$1001,,0))</f>
        <v>ncuttler5g@parallels.com</v>
      </c>
      <c r="H201" s="2" t="str">
        <f>_xlfn.XLOOKUP(C201,customers!$A$1:$A$1001,customers!$G$1:$G$1001,,0)</f>
        <v>United States</v>
      </c>
      <c r="I201" t="str">
        <f>INDEX(products!$A$1:$G$49, MATCH(orders!$D201,products!$A$1:$A$49,0), MATCH(I$1,products!$A$1:$G$1,0))</f>
        <v>Lib</v>
      </c>
      <c r="J201" t="str">
        <f>INDEX(products!$A$1:$G$49, MATCH(orders!$D201,products!$A$1:$A$49,0), MATCH(J$1,products!$A$1:$G$1,0))</f>
        <v>L</v>
      </c>
      <c r="K201" s="4">
        <f>INDEX(products!$A$1:$G$49, MATCH(orders!$D201,products!$A$1:$A$49,0), MATCH(K$1,products!$A$1:$G$1,0))</f>
        <v>0.5</v>
      </c>
      <c r="L201" s="5">
        <f>INDEX(products!$A$1:$G$49, MATCH(orders!$D201,products!$A$1:$A$49,0), MATCH(L$1,products!$A$1:$G$1,0))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 = 0, "", _xlfn.XLOOKUP(C202,customers!$A$1:$A$1001,customers!$C$1:$C$1001,,0))</f>
        <v>ncuttler5g@parallels.com</v>
      </c>
      <c r="H202" s="2" t="str">
        <f>_xlfn.XLOOKUP(C202,customers!$A$1:$A$1001,customers!$G$1:$G$1001,,0)</f>
        <v>United States</v>
      </c>
      <c r="I202" t="str">
        <f>INDEX(products!$A$1:$G$49, MATCH(orders!$D202,products!$A$1:$A$49,0), MATCH(I$1,products!$A$1:$G$1,0))</f>
        <v>Exc</v>
      </c>
      <c r="J202" t="str">
        <f>INDEX(products!$A$1:$G$49, MATCH(orders!$D202,products!$A$1:$A$49,0), MATCH(J$1,products!$A$1:$G$1,0))</f>
        <v>M</v>
      </c>
      <c r="K202" s="4">
        <f>INDEX(products!$A$1:$G$49, MATCH(orders!$D202,products!$A$1:$A$49,0), MATCH(K$1,products!$A$1:$G$1,0))</f>
        <v>1</v>
      </c>
      <c r="L202" s="5">
        <f>INDEX(products!$A$1:$G$49, MATCH(orders!$D202,products!$A$1:$A$49,0), MATCH(L$1,products!$A$1:$G$1,0))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 = 0, "", _xlfn.XLOOKUP(C203,customers!$A$1:$A$1001,customers!$C$1:$C$1001,,0))</f>
        <v/>
      </c>
      <c r="H203" s="2" t="str">
        <f>_xlfn.XLOOKUP(C203,customers!$A$1:$A$1001,customers!$G$1:$G$1001,,0)</f>
        <v>United States</v>
      </c>
      <c r="I203" t="str">
        <f>INDEX(products!$A$1:$G$49, MATCH(orders!$D203,products!$A$1:$A$49,0), MATCH(I$1,products!$A$1:$G$1,0))</f>
        <v>Lib</v>
      </c>
      <c r="J203" t="str">
        <f>INDEX(products!$A$1:$G$49, MATCH(orders!$D203,products!$A$1:$A$49,0), MATCH(J$1,products!$A$1:$G$1,0))</f>
        <v>L</v>
      </c>
      <c r="K203" s="4">
        <f>INDEX(products!$A$1:$G$49, MATCH(orders!$D203,products!$A$1:$A$49,0), MATCH(K$1,products!$A$1:$G$1,0))</f>
        <v>0.5</v>
      </c>
      <c r="L203" s="5">
        <f>INDEX(products!$A$1:$G$49, MATCH(orders!$D203,products!$A$1:$A$49,0), MATCH(L$1,products!$A$1:$G$1,0))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 = 0, "", _xlfn.XLOOKUP(C204,customers!$A$1:$A$1001,customers!$C$1:$C$1001,,0))</f>
        <v>tfelip5m@typepad.com</v>
      </c>
      <c r="H204" s="2" t="str">
        <f>_xlfn.XLOOKUP(C204,customers!$A$1:$A$1001,customers!$G$1:$G$1001,,0)</f>
        <v>United States</v>
      </c>
      <c r="I204" t="str">
        <f>INDEX(products!$A$1:$G$49, MATCH(orders!$D204,products!$A$1:$A$49,0), MATCH(I$1,products!$A$1:$G$1,0))</f>
        <v>Lib</v>
      </c>
      <c r="J204" t="str">
        <f>INDEX(products!$A$1:$G$49, MATCH(orders!$D204,products!$A$1:$A$49,0), MATCH(J$1,products!$A$1:$G$1,0))</f>
        <v>D</v>
      </c>
      <c r="K204" s="4">
        <f>INDEX(products!$A$1:$G$49, MATCH(orders!$D204,products!$A$1:$A$49,0), MATCH(K$1,products!$A$1:$G$1,0))</f>
        <v>2.5</v>
      </c>
      <c r="L204" s="5">
        <f>INDEX(products!$A$1:$G$49, MATCH(orders!$D204,products!$A$1:$A$49,0), MATCH(L$1,products!$A$1:$G$1,0))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 = 0, "", _xlfn.XLOOKUP(C205,customers!$A$1:$A$1001,customers!$C$1:$C$1001,,0))</f>
        <v>vle5n@disqus.com</v>
      </c>
      <c r="H205" s="2" t="str">
        <f>_xlfn.XLOOKUP(C205,customers!$A$1:$A$1001,customers!$G$1:$G$1001,,0)</f>
        <v>United States</v>
      </c>
      <c r="I205" t="str">
        <f>INDEX(products!$A$1:$G$49, MATCH(orders!$D205,products!$A$1:$A$49,0), MATCH(I$1,products!$A$1:$G$1,0))</f>
        <v>Lib</v>
      </c>
      <c r="J205" t="str">
        <f>INDEX(products!$A$1:$G$49, MATCH(orders!$D205,products!$A$1:$A$49,0), MATCH(J$1,products!$A$1:$G$1,0))</f>
        <v>L</v>
      </c>
      <c r="K205" s="4">
        <f>INDEX(products!$A$1:$G$49, MATCH(orders!$D205,products!$A$1:$A$49,0), MATCH(K$1,products!$A$1:$G$1,0))</f>
        <v>0.2</v>
      </c>
      <c r="L205" s="5">
        <f>INDEX(products!$A$1:$G$49, MATCH(orders!$D205,products!$A$1:$A$49,0), MATCH(L$1,products!$A$1:$G$1,0))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 = 0, "", _xlfn.XLOOKUP(C206,customers!$A$1:$A$1001,customers!$C$1:$C$1001,,0))</f>
        <v/>
      </c>
      <c r="H206" s="2" t="str">
        <f>_xlfn.XLOOKUP(C206,customers!$A$1:$A$1001,customers!$G$1:$G$1001,,0)</f>
        <v>United States</v>
      </c>
      <c r="I206" t="str">
        <f>INDEX(products!$A$1:$G$49, MATCH(orders!$D206,products!$A$1:$A$49,0), MATCH(I$1,products!$A$1:$G$1,0))</f>
        <v>Exc</v>
      </c>
      <c r="J206" t="str">
        <f>INDEX(products!$A$1:$G$49, MATCH(orders!$D206,products!$A$1:$A$49,0), MATCH(J$1,products!$A$1:$G$1,0))</f>
        <v>M</v>
      </c>
      <c r="K206" s="4">
        <f>INDEX(products!$A$1:$G$49, MATCH(orders!$D206,products!$A$1:$A$49,0), MATCH(K$1,products!$A$1:$G$1,0))</f>
        <v>1</v>
      </c>
      <c r="L206" s="5">
        <f>INDEX(products!$A$1:$G$49, MATCH(orders!$D206,products!$A$1:$A$49,0), MATCH(L$1,products!$A$1:$G$1,0))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 = 0, "", _xlfn.XLOOKUP(C207,customers!$A$1:$A$1001,customers!$C$1:$C$1001,,0))</f>
        <v/>
      </c>
      <c r="H207" s="2" t="str">
        <f>_xlfn.XLOOKUP(C207,customers!$A$1:$A$1001,customers!$G$1:$G$1001,,0)</f>
        <v>United States</v>
      </c>
      <c r="I207" t="str">
        <f>INDEX(products!$A$1:$G$49, MATCH(orders!$D207,products!$A$1:$A$49,0), MATCH(I$1,products!$A$1:$G$1,0))</f>
        <v>Rob</v>
      </c>
      <c r="J207" t="str">
        <f>INDEX(products!$A$1:$G$49, MATCH(orders!$D207,products!$A$1:$A$49,0), MATCH(J$1,products!$A$1:$G$1,0))</f>
        <v>D</v>
      </c>
      <c r="K207" s="4">
        <f>INDEX(products!$A$1:$G$49, MATCH(orders!$D207,products!$A$1:$A$49,0), MATCH(K$1,products!$A$1:$G$1,0))</f>
        <v>0.2</v>
      </c>
      <c r="L207" s="5">
        <f>INDEX(products!$A$1:$G$49, MATCH(orders!$D207,products!$A$1:$A$49,0), MATCH(L$1,products!$A$1:$G$1,0))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 = 0, "", _xlfn.XLOOKUP(C208,customers!$A$1:$A$1001,customers!$C$1:$C$1001,,0))</f>
        <v>npoolman5q@howstuffworks.com</v>
      </c>
      <c r="H208" s="2" t="str">
        <f>_xlfn.XLOOKUP(C208,customers!$A$1:$A$1001,customers!$G$1:$G$1001,,0)</f>
        <v>United States</v>
      </c>
      <c r="I208" t="str">
        <f>INDEX(products!$A$1:$G$49, MATCH(orders!$D208,products!$A$1:$A$49,0), MATCH(I$1,products!$A$1:$G$1,0))</f>
        <v>Ara</v>
      </c>
      <c r="J208" t="str">
        <f>INDEX(products!$A$1:$G$49, MATCH(orders!$D208,products!$A$1:$A$49,0), MATCH(J$1,products!$A$1:$G$1,0))</f>
        <v>M</v>
      </c>
      <c r="K208" s="4">
        <f>INDEX(products!$A$1:$G$49, MATCH(orders!$D208,products!$A$1:$A$49,0), MATCH(K$1,products!$A$1:$G$1,0))</f>
        <v>1</v>
      </c>
      <c r="L208" s="5">
        <f>INDEX(products!$A$1:$G$49, MATCH(orders!$D208,products!$A$1:$A$49,0), MATCH(L$1,products!$A$1:$G$1,0))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 = 0, "", _xlfn.XLOOKUP(C209,customers!$A$1:$A$1001,customers!$C$1:$C$1001,,0))</f>
        <v>oduny5r@constantcontact.com</v>
      </c>
      <c r="H209" s="2" t="str">
        <f>_xlfn.XLOOKUP(C209,customers!$A$1:$A$1001,customers!$G$1:$G$1001,,0)</f>
        <v>United States</v>
      </c>
      <c r="I209" t="str">
        <f>INDEX(products!$A$1:$G$49, MATCH(orders!$D209,products!$A$1:$A$49,0), MATCH(I$1,products!$A$1:$G$1,0))</f>
        <v>Ara</v>
      </c>
      <c r="J209" t="str">
        <f>INDEX(products!$A$1:$G$49, MATCH(orders!$D209,products!$A$1:$A$49,0), MATCH(J$1,products!$A$1:$G$1,0))</f>
        <v>M</v>
      </c>
      <c r="K209" s="4">
        <f>INDEX(products!$A$1:$G$49, MATCH(orders!$D209,products!$A$1:$A$49,0), MATCH(K$1,products!$A$1:$G$1,0))</f>
        <v>0.5</v>
      </c>
      <c r="L209" s="5">
        <f>INDEX(products!$A$1:$G$49, MATCH(orders!$D209,products!$A$1:$A$49,0), MATCH(L$1,products!$A$1:$G$1,0))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 = 0, "", _xlfn.XLOOKUP(C210,customers!$A$1:$A$1001,customers!$C$1:$C$1001,,0))</f>
        <v>chalfhide5s@google.ru</v>
      </c>
      <c r="H210" s="2" t="str">
        <f>_xlfn.XLOOKUP(C210,customers!$A$1:$A$1001,customers!$G$1:$G$1001,,0)</f>
        <v>Ireland</v>
      </c>
      <c r="I210" t="str">
        <f>INDEX(products!$A$1:$G$49, MATCH(orders!$D210,products!$A$1:$A$49,0), MATCH(I$1,products!$A$1:$G$1,0))</f>
        <v>Exc</v>
      </c>
      <c r="J210" t="str">
        <f>INDEX(products!$A$1:$G$49, MATCH(orders!$D210,products!$A$1:$A$49,0), MATCH(J$1,products!$A$1:$G$1,0))</f>
        <v>D</v>
      </c>
      <c r="K210" s="4">
        <f>INDEX(products!$A$1:$G$49, MATCH(orders!$D210,products!$A$1:$A$49,0), MATCH(K$1,products!$A$1:$G$1,0))</f>
        <v>0.5</v>
      </c>
      <c r="L210" s="5">
        <f>INDEX(products!$A$1:$G$49, MATCH(orders!$D210,products!$A$1:$A$49,0), MATCH(L$1,products!$A$1:$G$1,0))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 = 0, "", _xlfn.XLOOKUP(C211,customers!$A$1:$A$1001,customers!$C$1:$C$1001,,0))</f>
        <v>fmalecky5t@list-manage.com</v>
      </c>
      <c r="H211" s="2" t="str">
        <f>_xlfn.XLOOKUP(C211,customers!$A$1:$A$1001,customers!$G$1:$G$1001,,0)</f>
        <v>United Kingdom</v>
      </c>
      <c r="I211" t="str">
        <f>INDEX(products!$A$1:$G$49, MATCH(orders!$D211,products!$A$1:$A$49,0), MATCH(I$1,products!$A$1:$G$1,0))</f>
        <v>Ara</v>
      </c>
      <c r="J211" t="str">
        <f>INDEX(products!$A$1:$G$49, MATCH(orders!$D211,products!$A$1:$A$49,0), MATCH(J$1,products!$A$1:$G$1,0))</f>
        <v>M</v>
      </c>
      <c r="K211" s="4">
        <f>INDEX(products!$A$1:$G$49, MATCH(orders!$D211,products!$A$1:$A$49,0), MATCH(K$1,products!$A$1:$G$1,0))</f>
        <v>0.5</v>
      </c>
      <c r="L211" s="5">
        <f>INDEX(products!$A$1:$G$49, MATCH(orders!$D211,products!$A$1:$A$49,0), MATCH(L$1,products!$A$1:$G$1,0))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 = 0, "", _xlfn.XLOOKUP(C212,customers!$A$1:$A$1001,customers!$C$1:$C$1001,,0))</f>
        <v>aattwater5u@wikia.com</v>
      </c>
      <c r="H212" s="2" t="str">
        <f>_xlfn.XLOOKUP(C212,customers!$A$1:$A$1001,customers!$G$1:$G$1001,,0)</f>
        <v>United States</v>
      </c>
      <c r="I212" t="str">
        <f>INDEX(products!$A$1:$G$49, MATCH(orders!$D212,products!$A$1:$A$49,0), MATCH(I$1,products!$A$1:$G$1,0))</f>
        <v>Lib</v>
      </c>
      <c r="J212" t="str">
        <f>INDEX(products!$A$1:$G$49, MATCH(orders!$D212,products!$A$1:$A$49,0), MATCH(J$1,products!$A$1:$G$1,0))</f>
        <v>D</v>
      </c>
      <c r="K212" s="4">
        <f>INDEX(products!$A$1:$G$49, MATCH(orders!$D212,products!$A$1:$A$49,0), MATCH(K$1,products!$A$1:$G$1,0))</f>
        <v>1</v>
      </c>
      <c r="L212" s="5">
        <f>INDEX(products!$A$1:$G$49, MATCH(orders!$D212,products!$A$1:$A$49,0), MATCH(L$1,products!$A$1:$G$1,0))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 = 0, "", _xlfn.XLOOKUP(C213,customers!$A$1:$A$1001,customers!$C$1:$C$1001,,0))</f>
        <v>mwhellans5v@mapquest.com</v>
      </c>
      <c r="H213" s="2" t="str">
        <f>_xlfn.XLOOKUP(C213,customers!$A$1:$A$1001,customers!$G$1:$G$1001,,0)</f>
        <v>United States</v>
      </c>
      <c r="I213" t="str">
        <f>INDEX(products!$A$1:$G$49, MATCH(orders!$D213,products!$A$1:$A$49,0), MATCH(I$1,products!$A$1:$G$1,0))</f>
        <v>Exc</v>
      </c>
      <c r="J213" t="str">
        <f>INDEX(products!$A$1:$G$49, MATCH(orders!$D213,products!$A$1:$A$49,0), MATCH(J$1,products!$A$1:$G$1,0))</f>
        <v>L</v>
      </c>
      <c r="K213" s="4">
        <f>INDEX(products!$A$1:$G$49, MATCH(orders!$D213,products!$A$1:$A$49,0), MATCH(K$1,products!$A$1:$G$1,0))</f>
        <v>0.5</v>
      </c>
      <c r="L213" s="5">
        <f>INDEX(products!$A$1:$G$49, MATCH(orders!$D213,products!$A$1:$A$49,0), MATCH(L$1,products!$A$1:$G$1,0))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 = 0, "", _xlfn.XLOOKUP(C214,customers!$A$1:$A$1001,customers!$C$1:$C$1001,,0))</f>
        <v>dcamilletti5w@businesswire.com</v>
      </c>
      <c r="H214" s="2" t="str">
        <f>_xlfn.XLOOKUP(C214,customers!$A$1:$A$1001,customers!$G$1:$G$1001,,0)</f>
        <v>United States</v>
      </c>
      <c r="I214" t="str">
        <f>INDEX(products!$A$1:$G$49, MATCH(orders!$D214,products!$A$1:$A$49,0), MATCH(I$1,products!$A$1:$G$1,0))</f>
        <v>Exc</v>
      </c>
      <c r="J214" t="str">
        <f>INDEX(products!$A$1:$G$49, MATCH(orders!$D214,products!$A$1:$A$49,0), MATCH(J$1,products!$A$1:$G$1,0))</f>
        <v>D</v>
      </c>
      <c r="K214" s="4">
        <f>INDEX(products!$A$1:$G$49, MATCH(orders!$D214,products!$A$1:$A$49,0), MATCH(K$1,products!$A$1:$G$1,0))</f>
        <v>0.2</v>
      </c>
      <c r="L214" s="5">
        <f>INDEX(products!$A$1:$G$49, MATCH(orders!$D214,products!$A$1:$A$49,0), MATCH(L$1,products!$A$1:$G$1,0))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 = 0, "", _xlfn.XLOOKUP(C215,customers!$A$1:$A$1001,customers!$C$1:$C$1001,,0))</f>
        <v>egalgey5x@wufoo.com</v>
      </c>
      <c r="H215" s="2" t="str">
        <f>_xlfn.XLOOKUP(C215,customers!$A$1:$A$1001,customers!$G$1:$G$1001,,0)</f>
        <v>United States</v>
      </c>
      <c r="I215" t="str">
        <f>INDEX(products!$A$1:$G$49, MATCH(orders!$D215,products!$A$1:$A$49,0), MATCH(I$1,products!$A$1:$G$1,0))</f>
        <v>Rob</v>
      </c>
      <c r="J215" t="str">
        <f>INDEX(products!$A$1:$G$49, MATCH(orders!$D215,products!$A$1:$A$49,0), MATCH(J$1,products!$A$1:$G$1,0))</f>
        <v>D</v>
      </c>
      <c r="K215" s="4">
        <f>INDEX(products!$A$1:$G$49, MATCH(orders!$D215,products!$A$1:$A$49,0), MATCH(K$1,products!$A$1:$G$1,0))</f>
        <v>2.5</v>
      </c>
      <c r="L215" s="5">
        <f>INDEX(products!$A$1:$G$49, MATCH(orders!$D215,products!$A$1:$A$49,0), MATCH(L$1,products!$A$1:$G$1,0))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 = 0, "", _xlfn.XLOOKUP(C216,customers!$A$1:$A$1001,customers!$C$1:$C$1001,,0))</f>
        <v>mhame5y@newsvine.com</v>
      </c>
      <c r="H216" s="2" t="str">
        <f>_xlfn.XLOOKUP(C216,customers!$A$1:$A$1001,customers!$G$1:$G$1001,,0)</f>
        <v>Ireland</v>
      </c>
      <c r="I216" t="str">
        <f>INDEX(products!$A$1:$G$49, MATCH(orders!$D216,products!$A$1:$A$49,0), MATCH(I$1,products!$A$1:$G$1,0))</f>
        <v>Lib</v>
      </c>
      <c r="J216" t="str">
        <f>INDEX(products!$A$1:$G$49, MATCH(orders!$D216,products!$A$1:$A$49,0), MATCH(J$1,products!$A$1:$G$1,0))</f>
        <v>L</v>
      </c>
      <c r="K216" s="4">
        <f>INDEX(products!$A$1:$G$49, MATCH(orders!$D216,products!$A$1:$A$49,0), MATCH(K$1,products!$A$1:$G$1,0))</f>
        <v>1</v>
      </c>
      <c r="L216" s="5">
        <f>INDEX(products!$A$1:$G$49, MATCH(orders!$D216,products!$A$1:$A$49,0), MATCH(L$1,products!$A$1:$G$1,0))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 = 0, "", _xlfn.XLOOKUP(C217,customers!$A$1:$A$1001,customers!$C$1:$C$1001,,0))</f>
        <v>igurnee5z@usnews.com</v>
      </c>
      <c r="H217" s="2" t="str">
        <f>_xlfn.XLOOKUP(C217,customers!$A$1:$A$1001,customers!$G$1:$G$1001,,0)</f>
        <v>United States</v>
      </c>
      <c r="I217" t="str">
        <f>INDEX(products!$A$1:$G$49, MATCH(orders!$D217,products!$A$1:$A$49,0), MATCH(I$1,products!$A$1:$G$1,0))</f>
        <v>Lib</v>
      </c>
      <c r="J217" t="str">
        <f>INDEX(products!$A$1:$G$49, MATCH(orders!$D217,products!$A$1:$A$49,0), MATCH(J$1,products!$A$1:$G$1,0))</f>
        <v>D</v>
      </c>
      <c r="K217" s="4">
        <f>INDEX(products!$A$1:$G$49, MATCH(orders!$D217,products!$A$1:$A$49,0), MATCH(K$1,products!$A$1:$G$1,0))</f>
        <v>0.2</v>
      </c>
      <c r="L217" s="5">
        <f>INDEX(products!$A$1:$G$49, MATCH(orders!$D217,products!$A$1:$A$49,0), MATCH(L$1,products!$A$1:$G$1,0))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 = 0, "", _xlfn.XLOOKUP(C218,customers!$A$1:$A$1001,customers!$C$1:$C$1001,,0))</f>
        <v>asnowding60@comsenz.com</v>
      </c>
      <c r="H218" s="2" t="str">
        <f>_xlfn.XLOOKUP(C218,customers!$A$1:$A$1001,customers!$G$1:$G$1001,,0)</f>
        <v>United States</v>
      </c>
      <c r="I218" t="str">
        <f>INDEX(products!$A$1:$G$49, MATCH(orders!$D218,products!$A$1:$A$49,0), MATCH(I$1,products!$A$1:$G$1,0))</f>
        <v>Lib</v>
      </c>
      <c r="J218" t="str">
        <f>INDEX(products!$A$1:$G$49, MATCH(orders!$D218,products!$A$1:$A$49,0), MATCH(J$1,products!$A$1:$G$1,0))</f>
        <v>M</v>
      </c>
      <c r="K218" s="4">
        <f>INDEX(products!$A$1:$G$49, MATCH(orders!$D218,products!$A$1:$A$49,0), MATCH(K$1,products!$A$1:$G$1,0))</f>
        <v>1</v>
      </c>
      <c r="L218" s="5">
        <f>INDEX(products!$A$1:$G$49, MATCH(orders!$D218,products!$A$1:$A$49,0), MATCH(L$1,products!$A$1:$G$1,0))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 = 0, "", _xlfn.XLOOKUP(C219,customers!$A$1:$A$1001,customers!$C$1:$C$1001,,0))</f>
        <v>gpoinsett61@berkeley.edu</v>
      </c>
      <c r="H219" s="2" t="str">
        <f>_xlfn.XLOOKUP(C219,customers!$A$1:$A$1001,customers!$G$1:$G$1001,,0)</f>
        <v>United States</v>
      </c>
      <c r="I219" t="str">
        <f>INDEX(products!$A$1:$G$49, MATCH(orders!$D219,products!$A$1:$A$49,0), MATCH(I$1,products!$A$1:$G$1,0))</f>
        <v>Exc</v>
      </c>
      <c r="J219" t="str">
        <f>INDEX(products!$A$1:$G$49, MATCH(orders!$D219,products!$A$1:$A$49,0), MATCH(J$1,products!$A$1:$G$1,0))</f>
        <v>L</v>
      </c>
      <c r="K219" s="4">
        <f>INDEX(products!$A$1:$G$49, MATCH(orders!$D219,products!$A$1:$A$49,0), MATCH(K$1,products!$A$1:$G$1,0))</f>
        <v>0.5</v>
      </c>
      <c r="L219" s="5">
        <f>INDEX(products!$A$1:$G$49, MATCH(orders!$D219,products!$A$1:$A$49,0), MATCH(L$1,products!$A$1:$G$1,0))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 = 0, "", _xlfn.XLOOKUP(C220,customers!$A$1:$A$1001,customers!$C$1:$C$1001,,0))</f>
        <v>rfurman62@t.co</v>
      </c>
      <c r="H220" s="2" t="str">
        <f>_xlfn.XLOOKUP(C220,customers!$A$1:$A$1001,customers!$G$1:$G$1001,,0)</f>
        <v>Ireland</v>
      </c>
      <c r="I220" t="str">
        <f>INDEX(products!$A$1:$G$49, MATCH(orders!$D220,products!$A$1:$A$49,0), MATCH(I$1,products!$A$1:$G$1,0))</f>
        <v>Ara</v>
      </c>
      <c r="J220" t="str">
        <f>INDEX(products!$A$1:$G$49, MATCH(orders!$D220,products!$A$1:$A$49,0), MATCH(J$1,products!$A$1:$G$1,0))</f>
        <v>M</v>
      </c>
      <c r="K220" s="4">
        <f>INDEX(products!$A$1:$G$49, MATCH(orders!$D220,products!$A$1:$A$49,0), MATCH(K$1,products!$A$1:$G$1,0))</f>
        <v>1</v>
      </c>
      <c r="L220" s="5">
        <f>INDEX(products!$A$1:$G$49, MATCH(orders!$D220,products!$A$1:$A$49,0), MATCH(L$1,products!$A$1:$G$1,0))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 = 0, "", _xlfn.XLOOKUP(C221,customers!$A$1:$A$1001,customers!$C$1:$C$1001,,0))</f>
        <v>ccrosier63@xrea.com</v>
      </c>
      <c r="H221" s="2" t="str">
        <f>_xlfn.XLOOKUP(C221,customers!$A$1:$A$1001,customers!$G$1:$G$1001,,0)</f>
        <v>United States</v>
      </c>
      <c r="I221" t="str">
        <f>INDEX(products!$A$1:$G$49, MATCH(orders!$D221,products!$A$1:$A$49,0), MATCH(I$1,products!$A$1:$G$1,0))</f>
        <v>Rob</v>
      </c>
      <c r="J221" t="str">
        <f>INDEX(products!$A$1:$G$49, MATCH(orders!$D221,products!$A$1:$A$49,0), MATCH(J$1,products!$A$1:$G$1,0))</f>
        <v>L</v>
      </c>
      <c r="K221" s="4">
        <f>INDEX(products!$A$1:$G$49, MATCH(orders!$D221,products!$A$1:$A$49,0), MATCH(K$1,products!$A$1:$G$1,0))</f>
        <v>0.2</v>
      </c>
      <c r="L221" s="5">
        <f>INDEX(products!$A$1:$G$49, MATCH(orders!$D221,products!$A$1:$A$49,0), MATCH(L$1,products!$A$1:$G$1,0))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 = 0, "", _xlfn.XLOOKUP(C222,customers!$A$1:$A$1001,customers!$C$1:$C$1001,,0))</f>
        <v>ccrosier63@xrea.com</v>
      </c>
      <c r="H222" s="2" t="str">
        <f>_xlfn.XLOOKUP(C222,customers!$A$1:$A$1001,customers!$G$1:$G$1001,,0)</f>
        <v>United States</v>
      </c>
      <c r="I222" t="str">
        <f>INDEX(products!$A$1:$G$49, MATCH(orders!$D222,products!$A$1:$A$49,0), MATCH(I$1,products!$A$1:$G$1,0))</f>
        <v>Rob</v>
      </c>
      <c r="J222" t="str">
        <f>INDEX(products!$A$1:$G$49, MATCH(orders!$D222,products!$A$1:$A$49,0), MATCH(J$1,products!$A$1:$G$1,0))</f>
        <v>M</v>
      </c>
      <c r="K222" s="4">
        <f>INDEX(products!$A$1:$G$49, MATCH(orders!$D222,products!$A$1:$A$49,0), MATCH(K$1,products!$A$1:$G$1,0))</f>
        <v>0.2</v>
      </c>
      <c r="L222" s="5">
        <f>INDEX(products!$A$1:$G$49, MATCH(orders!$D222,products!$A$1:$A$49,0), MATCH(L$1,products!$A$1:$G$1,0))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 = 0, "", _xlfn.XLOOKUP(C223,customers!$A$1:$A$1001,customers!$C$1:$C$1001,,0))</f>
        <v>lrushmer65@europa.eu</v>
      </c>
      <c r="H223" s="2" t="str">
        <f>_xlfn.XLOOKUP(C223,customers!$A$1:$A$1001,customers!$G$1:$G$1001,,0)</f>
        <v>United States</v>
      </c>
      <c r="I223" t="str">
        <f>INDEX(products!$A$1:$G$49, MATCH(orders!$D223,products!$A$1:$A$49,0), MATCH(I$1,products!$A$1:$G$1,0))</f>
        <v>Ara</v>
      </c>
      <c r="J223" t="str">
        <f>INDEX(products!$A$1:$G$49, MATCH(orders!$D223,products!$A$1:$A$49,0), MATCH(J$1,products!$A$1:$G$1,0))</f>
        <v>L</v>
      </c>
      <c r="K223" s="4">
        <f>INDEX(products!$A$1:$G$49, MATCH(orders!$D223,products!$A$1:$A$49,0), MATCH(K$1,products!$A$1:$G$1,0))</f>
        <v>1</v>
      </c>
      <c r="L223" s="5">
        <f>INDEX(products!$A$1:$G$49, MATCH(orders!$D223,products!$A$1:$A$49,0), MATCH(L$1,products!$A$1:$G$1,0))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 = 0, "", _xlfn.XLOOKUP(C224,customers!$A$1:$A$1001,customers!$C$1:$C$1001,,0))</f>
        <v>wedinborough66@github.io</v>
      </c>
      <c r="H224" s="2" t="str">
        <f>_xlfn.XLOOKUP(C224,customers!$A$1:$A$1001,customers!$G$1:$G$1001,,0)</f>
        <v>United States</v>
      </c>
      <c r="I224" t="str">
        <f>INDEX(products!$A$1:$G$49, MATCH(orders!$D224,products!$A$1:$A$49,0), MATCH(I$1,products!$A$1:$G$1,0))</f>
        <v>Lib</v>
      </c>
      <c r="J224" t="str">
        <f>INDEX(products!$A$1:$G$49, MATCH(orders!$D224,products!$A$1:$A$49,0), MATCH(J$1,products!$A$1:$G$1,0))</f>
        <v>D</v>
      </c>
      <c r="K224" s="4">
        <f>INDEX(products!$A$1:$G$49, MATCH(orders!$D224,products!$A$1:$A$49,0), MATCH(K$1,products!$A$1:$G$1,0))</f>
        <v>0.5</v>
      </c>
      <c r="L224" s="5">
        <f>INDEX(products!$A$1:$G$49, MATCH(orders!$D224,products!$A$1:$A$49,0), MATCH(L$1,products!$A$1:$G$1,0))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 = 0, "", _xlfn.XLOOKUP(C225,customers!$A$1:$A$1001,customers!$C$1:$C$1001,,0))</f>
        <v/>
      </c>
      <c r="H225" s="2" t="str">
        <f>_xlfn.XLOOKUP(C225,customers!$A$1:$A$1001,customers!$G$1:$G$1001,,0)</f>
        <v>United States</v>
      </c>
      <c r="I225" t="str">
        <f>INDEX(products!$A$1:$G$49, MATCH(orders!$D225,products!$A$1:$A$49,0), MATCH(I$1,products!$A$1:$G$1,0))</f>
        <v>Exc</v>
      </c>
      <c r="J225" t="str">
        <f>INDEX(products!$A$1:$G$49, MATCH(orders!$D225,products!$A$1:$A$49,0), MATCH(J$1,products!$A$1:$G$1,0))</f>
        <v>L</v>
      </c>
      <c r="K225" s="4">
        <f>INDEX(products!$A$1:$G$49, MATCH(orders!$D225,products!$A$1:$A$49,0), MATCH(K$1,products!$A$1:$G$1,0))</f>
        <v>1</v>
      </c>
      <c r="L225" s="5">
        <f>INDEX(products!$A$1:$G$49, MATCH(orders!$D225,products!$A$1:$A$49,0), MATCH(L$1,products!$A$1:$G$1,0))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 = 0, "", _xlfn.XLOOKUP(C226,customers!$A$1:$A$1001,customers!$C$1:$C$1001,,0))</f>
        <v>kbromehead68@un.org</v>
      </c>
      <c r="H226" s="2" t="str">
        <f>_xlfn.XLOOKUP(C226,customers!$A$1:$A$1001,customers!$G$1:$G$1001,,0)</f>
        <v>United States</v>
      </c>
      <c r="I226" t="str">
        <f>INDEX(products!$A$1:$G$49, MATCH(orders!$D226,products!$A$1:$A$49,0), MATCH(I$1,products!$A$1:$G$1,0))</f>
        <v>Lib</v>
      </c>
      <c r="J226" t="str">
        <f>INDEX(products!$A$1:$G$49, MATCH(orders!$D226,products!$A$1:$A$49,0), MATCH(J$1,products!$A$1:$G$1,0))</f>
        <v>D</v>
      </c>
      <c r="K226" s="4">
        <f>INDEX(products!$A$1:$G$49, MATCH(orders!$D226,products!$A$1:$A$49,0), MATCH(K$1,products!$A$1:$G$1,0))</f>
        <v>2.5</v>
      </c>
      <c r="L226" s="5">
        <f>INDEX(products!$A$1:$G$49, MATCH(orders!$D226,products!$A$1:$A$49,0), MATCH(L$1,products!$A$1:$G$1,0))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 = 0, "", _xlfn.XLOOKUP(C227,customers!$A$1:$A$1001,customers!$C$1:$C$1001,,0))</f>
        <v>ewesterman69@si.edu</v>
      </c>
      <c r="H227" s="2" t="str">
        <f>_xlfn.XLOOKUP(C227,customers!$A$1:$A$1001,customers!$G$1:$G$1001,,0)</f>
        <v>Ireland</v>
      </c>
      <c r="I227" t="str">
        <f>INDEX(products!$A$1:$G$49, MATCH(orders!$D227,products!$A$1:$A$49,0), MATCH(I$1,products!$A$1:$G$1,0))</f>
        <v>Rob</v>
      </c>
      <c r="J227" t="str">
        <f>INDEX(products!$A$1:$G$49, MATCH(orders!$D227,products!$A$1:$A$49,0), MATCH(J$1,products!$A$1:$G$1,0))</f>
        <v>L</v>
      </c>
      <c r="K227" s="4">
        <f>INDEX(products!$A$1:$G$49, MATCH(orders!$D227,products!$A$1:$A$49,0), MATCH(K$1,products!$A$1:$G$1,0))</f>
        <v>0.2</v>
      </c>
      <c r="L227" s="5">
        <f>INDEX(products!$A$1:$G$49, MATCH(orders!$D227,products!$A$1:$A$49,0), MATCH(L$1,products!$A$1:$G$1,0))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 = 0, "", _xlfn.XLOOKUP(C228,customers!$A$1:$A$1001,customers!$C$1:$C$1001,,0))</f>
        <v>ahutchens6a@amazonaws.com</v>
      </c>
      <c r="H228" s="2" t="str">
        <f>_xlfn.XLOOKUP(C228,customers!$A$1:$A$1001,customers!$G$1:$G$1001,,0)</f>
        <v>United States</v>
      </c>
      <c r="I228" t="str">
        <f>INDEX(products!$A$1:$G$49, MATCH(orders!$D228,products!$A$1:$A$49,0), MATCH(I$1,products!$A$1:$G$1,0))</f>
        <v>Ara</v>
      </c>
      <c r="J228" t="str">
        <f>INDEX(products!$A$1:$G$49, MATCH(orders!$D228,products!$A$1:$A$49,0), MATCH(J$1,products!$A$1:$G$1,0))</f>
        <v>M</v>
      </c>
      <c r="K228" s="4">
        <f>INDEX(products!$A$1:$G$49, MATCH(orders!$D228,products!$A$1:$A$49,0), MATCH(K$1,products!$A$1:$G$1,0))</f>
        <v>2.5</v>
      </c>
      <c r="L228" s="5">
        <f>INDEX(products!$A$1:$G$49, MATCH(orders!$D228,products!$A$1:$A$49,0), MATCH(L$1,products!$A$1:$G$1,0))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 = 0, "", _xlfn.XLOOKUP(C229,customers!$A$1:$A$1001,customers!$C$1:$C$1001,,0))</f>
        <v>nwyvill6b@naver.com</v>
      </c>
      <c r="H229" s="2" t="str">
        <f>_xlfn.XLOOKUP(C229,customers!$A$1:$A$1001,customers!$G$1:$G$1001,,0)</f>
        <v>United Kingdom</v>
      </c>
      <c r="I229" t="str">
        <f>INDEX(products!$A$1:$G$49, MATCH(orders!$D229,products!$A$1:$A$49,0), MATCH(I$1,products!$A$1:$G$1,0))</f>
        <v>Rob</v>
      </c>
      <c r="J229" t="str">
        <f>INDEX(products!$A$1:$G$49, MATCH(orders!$D229,products!$A$1:$A$49,0), MATCH(J$1,products!$A$1:$G$1,0))</f>
        <v>D</v>
      </c>
      <c r="K229" s="4">
        <f>INDEX(products!$A$1:$G$49, MATCH(orders!$D229,products!$A$1:$A$49,0), MATCH(K$1,products!$A$1:$G$1,0))</f>
        <v>0.2</v>
      </c>
      <c r="L229" s="5">
        <f>INDEX(products!$A$1:$G$49, MATCH(orders!$D229,products!$A$1:$A$49,0), MATCH(L$1,products!$A$1:$G$1,0))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 = 0, "", _xlfn.XLOOKUP(C230,customers!$A$1:$A$1001,customers!$C$1:$C$1001,,0))</f>
        <v>bmathon6c@barnesandnoble.com</v>
      </c>
      <c r="H230" s="2" t="str">
        <f>_xlfn.XLOOKUP(C230,customers!$A$1:$A$1001,customers!$G$1:$G$1001,,0)</f>
        <v>United States</v>
      </c>
      <c r="I230" t="str">
        <f>INDEX(products!$A$1:$G$49, MATCH(orders!$D230,products!$A$1:$A$49,0), MATCH(I$1,products!$A$1:$G$1,0))</f>
        <v>Rob</v>
      </c>
      <c r="J230" t="str">
        <f>INDEX(products!$A$1:$G$49, MATCH(orders!$D230,products!$A$1:$A$49,0), MATCH(J$1,products!$A$1:$G$1,0))</f>
        <v>L</v>
      </c>
      <c r="K230" s="4">
        <f>INDEX(products!$A$1:$G$49, MATCH(orders!$D230,products!$A$1:$A$49,0), MATCH(K$1,products!$A$1:$G$1,0))</f>
        <v>0.2</v>
      </c>
      <c r="L230" s="5">
        <f>INDEX(products!$A$1:$G$49, MATCH(orders!$D230,products!$A$1:$A$49,0), MATCH(L$1,products!$A$1:$G$1,0))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 = 0, "", _xlfn.XLOOKUP(C231,customers!$A$1:$A$1001,customers!$C$1:$C$1001,,0))</f>
        <v>kstreight6d@about.com</v>
      </c>
      <c r="H231" s="2" t="str">
        <f>_xlfn.XLOOKUP(C231,customers!$A$1:$A$1001,customers!$G$1:$G$1001,,0)</f>
        <v>United States</v>
      </c>
      <c r="I231" t="str">
        <f>INDEX(products!$A$1:$G$49, MATCH(orders!$D231,products!$A$1:$A$49,0), MATCH(I$1,products!$A$1:$G$1,0))</f>
        <v>Lib</v>
      </c>
      <c r="J231" t="str">
        <f>INDEX(products!$A$1:$G$49, MATCH(orders!$D231,products!$A$1:$A$49,0), MATCH(J$1,products!$A$1:$G$1,0))</f>
        <v>M</v>
      </c>
      <c r="K231" s="4">
        <f>INDEX(products!$A$1:$G$49, MATCH(orders!$D231,products!$A$1:$A$49,0), MATCH(K$1,products!$A$1:$G$1,0))</f>
        <v>0.2</v>
      </c>
      <c r="L231" s="5">
        <f>INDEX(products!$A$1:$G$49, MATCH(orders!$D231,products!$A$1:$A$49,0), MATCH(L$1,products!$A$1:$G$1,0))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 = 0, "", _xlfn.XLOOKUP(C232,customers!$A$1:$A$1001,customers!$C$1:$C$1001,,0))</f>
        <v>pcutchie6e@globo.com</v>
      </c>
      <c r="H232" s="2" t="str">
        <f>_xlfn.XLOOKUP(C232,customers!$A$1:$A$1001,customers!$G$1:$G$1001,,0)</f>
        <v>United States</v>
      </c>
      <c r="I232" t="str">
        <f>INDEX(products!$A$1:$G$49, MATCH(orders!$D232,products!$A$1:$A$49,0), MATCH(I$1,products!$A$1:$G$1,0))</f>
        <v>Ara</v>
      </c>
      <c r="J232" t="str">
        <f>INDEX(products!$A$1:$G$49, MATCH(orders!$D232,products!$A$1:$A$49,0), MATCH(J$1,products!$A$1:$G$1,0))</f>
        <v>M</v>
      </c>
      <c r="K232" s="4">
        <f>INDEX(products!$A$1:$G$49, MATCH(orders!$D232,products!$A$1:$A$49,0), MATCH(K$1,products!$A$1:$G$1,0))</f>
        <v>2.5</v>
      </c>
      <c r="L232" s="5">
        <f>INDEX(products!$A$1:$G$49, MATCH(orders!$D232,products!$A$1:$A$49,0), MATCH(L$1,products!$A$1:$G$1,0))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 = 0, "", _xlfn.XLOOKUP(C233,customers!$A$1:$A$1001,customers!$C$1:$C$1001,,0))</f>
        <v/>
      </c>
      <c r="H233" s="2" t="str">
        <f>_xlfn.XLOOKUP(C233,customers!$A$1:$A$1001,customers!$G$1:$G$1001,,0)</f>
        <v>United States</v>
      </c>
      <c r="I233" t="str">
        <f>INDEX(products!$A$1:$G$49, MATCH(orders!$D233,products!$A$1:$A$49,0), MATCH(I$1,products!$A$1:$G$1,0))</f>
        <v>Lib</v>
      </c>
      <c r="J233" t="str">
        <f>INDEX(products!$A$1:$G$49, MATCH(orders!$D233,products!$A$1:$A$49,0), MATCH(J$1,products!$A$1:$G$1,0))</f>
        <v>M</v>
      </c>
      <c r="K233" s="4">
        <f>INDEX(products!$A$1:$G$49, MATCH(orders!$D233,products!$A$1:$A$49,0), MATCH(K$1,products!$A$1:$G$1,0))</f>
        <v>0.2</v>
      </c>
      <c r="L233" s="5">
        <f>INDEX(products!$A$1:$G$49, MATCH(orders!$D233,products!$A$1:$A$49,0), MATCH(L$1,products!$A$1:$G$1,0))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 = 0, "", _xlfn.XLOOKUP(C234,customers!$A$1:$A$1001,customers!$C$1:$C$1001,,0))</f>
        <v>cgheraldi6g@opera.com</v>
      </c>
      <c r="H234" s="2" t="str">
        <f>_xlfn.XLOOKUP(C234,customers!$A$1:$A$1001,customers!$G$1:$G$1001,,0)</f>
        <v>United Kingdom</v>
      </c>
      <c r="I234" t="str">
        <f>INDEX(products!$A$1:$G$49, MATCH(orders!$D234,products!$A$1:$A$49,0), MATCH(I$1,products!$A$1:$G$1,0))</f>
        <v>Lib</v>
      </c>
      <c r="J234" t="str">
        <f>INDEX(products!$A$1:$G$49, MATCH(orders!$D234,products!$A$1:$A$49,0), MATCH(J$1,products!$A$1:$G$1,0))</f>
        <v>L</v>
      </c>
      <c r="K234" s="4">
        <f>INDEX(products!$A$1:$G$49, MATCH(orders!$D234,products!$A$1:$A$49,0), MATCH(K$1,products!$A$1:$G$1,0))</f>
        <v>0.2</v>
      </c>
      <c r="L234" s="5">
        <f>INDEX(products!$A$1:$G$49, MATCH(orders!$D234,products!$A$1:$A$49,0), MATCH(L$1,products!$A$1:$G$1,0))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 = 0, "", _xlfn.XLOOKUP(C235,customers!$A$1:$A$1001,customers!$C$1:$C$1001,,0))</f>
        <v>bkenwell6h@over-blog.com</v>
      </c>
      <c r="H235" s="2" t="str">
        <f>_xlfn.XLOOKUP(C235,customers!$A$1:$A$1001,customers!$G$1:$G$1001,,0)</f>
        <v>United States</v>
      </c>
      <c r="I235" t="str">
        <f>INDEX(products!$A$1:$G$49, MATCH(orders!$D235,products!$A$1:$A$49,0), MATCH(I$1,products!$A$1:$G$1,0))</f>
        <v>Exc</v>
      </c>
      <c r="J235" t="str">
        <f>INDEX(products!$A$1:$G$49, MATCH(orders!$D235,products!$A$1:$A$49,0), MATCH(J$1,products!$A$1:$G$1,0))</f>
        <v>M</v>
      </c>
      <c r="K235" s="4">
        <f>INDEX(products!$A$1:$G$49, MATCH(orders!$D235,products!$A$1:$A$49,0), MATCH(K$1,products!$A$1:$G$1,0))</f>
        <v>0.2</v>
      </c>
      <c r="L235" s="5">
        <f>INDEX(products!$A$1:$G$49, MATCH(orders!$D235,products!$A$1:$A$49,0), MATCH(L$1,products!$A$1:$G$1,0))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 = 0, "", _xlfn.XLOOKUP(C236,customers!$A$1:$A$1001,customers!$C$1:$C$1001,,0))</f>
        <v>tsutty6i@google.es</v>
      </c>
      <c r="H236" s="2" t="str">
        <f>_xlfn.XLOOKUP(C236,customers!$A$1:$A$1001,customers!$G$1:$G$1001,,0)</f>
        <v>United States</v>
      </c>
      <c r="I236" t="str">
        <f>INDEX(products!$A$1:$G$49, MATCH(orders!$D236,products!$A$1:$A$49,0), MATCH(I$1,products!$A$1:$G$1,0))</f>
        <v>Lib</v>
      </c>
      <c r="J236" t="str">
        <f>INDEX(products!$A$1:$G$49, MATCH(orders!$D236,products!$A$1:$A$49,0), MATCH(J$1,products!$A$1:$G$1,0))</f>
        <v>L</v>
      </c>
      <c r="K236" s="4">
        <f>INDEX(products!$A$1:$G$49, MATCH(orders!$D236,products!$A$1:$A$49,0), MATCH(K$1,products!$A$1:$G$1,0))</f>
        <v>2.5</v>
      </c>
      <c r="L236" s="5">
        <f>INDEX(products!$A$1:$G$49, MATCH(orders!$D236,products!$A$1:$A$49,0), MATCH(L$1,products!$A$1:$G$1,0))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 = 0, "", _xlfn.XLOOKUP(C237,customers!$A$1:$A$1001,customers!$C$1:$C$1001,,0))</f>
        <v/>
      </c>
      <c r="H237" s="2" t="str">
        <f>_xlfn.XLOOKUP(C237,customers!$A$1:$A$1001,customers!$G$1:$G$1001,,0)</f>
        <v>Ireland</v>
      </c>
      <c r="I237" t="str">
        <f>INDEX(products!$A$1:$G$49, MATCH(orders!$D237,products!$A$1:$A$49,0), MATCH(I$1,products!$A$1:$G$1,0))</f>
        <v>Lib</v>
      </c>
      <c r="J237" t="str">
        <f>INDEX(products!$A$1:$G$49, MATCH(orders!$D237,products!$A$1:$A$49,0), MATCH(J$1,products!$A$1:$G$1,0))</f>
        <v>L</v>
      </c>
      <c r="K237" s="4">
        <f>INDEX(products!$A$1:$G$49, MATCH(orders!$D237,products!$A$1:$A$49,0), MATCH(K$1,products!$A$1:$G$1,0))</f>
        <v>2.5</v>
      </c>
      <c r="L237" s="5">
        <f>INDEX(products!$A$1:$G$49, MATCH(orders!$D237,products!$A$1:$A$49,0), MATCH(L$1,products!$A$1:$G$1,0))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 = 0, "", _xlfn.XLOOKUP(C238,customers!$A$1:$A$1001,customers!$C$1:$C$1001,,0))</f>
        <v>charce6k@cafepress.com</v>
      </c>
      <c r="H238" s="2" t="str">
        <f>_xlfn.XLOOKUP(C238,customers!$A$1:$A$1001,customers!$G$1:$G$1001,,0)</f>
        <v>Ireland</v>
      </c>
      <c r="I238" t="str">
        <f>INDEX(products!$A$1:$G$49, MATCH(orders!$D238,products!$A$1:$A$49,0), MATCH(I$1,products!$A$1:$G$1,0))</f>
        <v>Lib</v>
      </c>
      <c r="J238" t="str">
        <f>INDEX(products!$A$1:$G$49, MATCH(orders!$D238,products!$A$1:$A$49,0), MATCH(J$1,products!$A$1:$G$1,0))</f>
        <v>D</v>
      </c>
      <c r="K238" s="4">
        <f>INDEX(products!$A$1:$G$49, MATCH(orders!$D238,products!$A$1:$A$49,0), MATCH(K$1,products!$A$1:$G$1,0))</f>
        <v>2.5</v>
      </c>
      <c r="L238" s="5">
        <f>INDEX(products!$A$1:$G$49, MATCH(orders!$D238,products!$A$1:$A$49,0), MATCH(L$1,products!$A$1:$G$1,0))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 = 0, "", _xlfn.XLOOKUP(C239,customers!$A$1:$A$1001,customers!$C$1:$C$1001,,0))</f>
        <v/>
      </c>
      <c r="H239" s="2" t="str">
        <f>_xlfn.XLOOKUP(C239,customers!$A$1:$A$1001,customers!$G$1:$G$1001,,0)</f>
        <v>United States</v>
      </c>
      <c r="I239" t="str">
        <f>INDEX(products!$A$1:$G$49, MATCH(orders!$D239,products!$A$1:$A$49,0), MATCH(I$1,products!$A$1:$G$1,0))</f>
        <v>Rob</v>
      </c>
      <c r="J239" t="str">
        <f>INDEX(products!$A$1:$G$49, MATCH(orders!$D239,products!$A$1:$A$49,0), MATCH(J$1,products!$A$1:$G$1,0))</f>
        <v>L</v>
      </c>
      <c r="K239" s="4">
        <f>INDEX(products!$A$1:$G$49, MATCH(orders!$D239,products!$A$1:$A$49,0), MATCH(K$1,products!$A$1:$G$1,0))</f>
        <v>0.2</v>
      </c>
      <c r="L239" s="5">
        <f>INDEX(products!$A$1:$G$49, MATCH(orders!$D239,products!$A$1:$A$49,0), MATCH(L$1,products!$A$1:$G$1,0))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 = 0, "", _xlfn.XLOOKUP(C240,customers!$A$1:$A$1001,customers!$C$1:$C$1001,,0))</f>
        <v>fdrysdale6m@symantec.com</v>
      </c>
      <c r="H240" s="2" t="str">
        <f>_xlfn.XLOOKUP(C240,customers!$A$1:$A$1001,customers!$G$1:$G$1001,,0)</f>
        <v>United States</v>
      </c>
      <c r="I240" t="str">
        <f>INDEX(products!$A$1:$G$49, MATCH(orders!$D240,products!$A$1:$A$49,0), MATCH(I$1,products!$A$1:$G$1,0))</f>
        <v>Rob</v>
      </c>
      <c r="J240" t="str">
        <f>INDEX(products!$A$1:$G$49, MATCH(orders!$D240,products!$A$1:$A$49,0), MATCH(J$1,products!$A$1:$G$1,0))</f>
        <v>M</v>
      </c>
      <c r="K240" s="4">
        <f>INDEX(products!$A$1:$G$49, MATCH(orders!$D240,products!$A$1:$A$49,0), MATCH(K$1,products!$A$1:$G$1,0))</f>
        <v>2.5</v>
      </c>
      <c r="L240" s="5">
        <f>INDEX(products!$A$1:$G$49, MATCH(orders!$D240,products!$A$1:$A$49,0), MATCH(L$1,products!$A$1:$G$1,0))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 = 0, "", _xlfn.XLOOKUP(C241,customers!$A$1:$A$1001,customers!$C$1:$C$1001,,0))</f>
        <v>dmagowan6n@fc2.com</v>
      </c>
      <c r="H241" s="2" t="str">
        <f>_xlfn.XLOOKUP(C241,customers!$A$1:$A$1001,customers!$G$1:$G$1001,,0)</f>
        <v>United States</v>
      </c>
      <c r="I241" t="str">
        <f>INDEX(products!$A$1:$G$49, MATCH(orders!$D241,products!$A$1:$A$49,0), MATCH(I$1,products!$A$1:$G$1,0))</f>
        <v>Exc</v>
      </c>
      <c r="J241" t="str">
        <f>INDEX(products!$A$1:$G$49, MATCH(orders!$D241,products!$A$1:$A$49,0), MATCH(J$1,products!$A$1:$G$1,0))</f>
        <v>L</v>
      </c>
      <c r="K241" s="4">
        <f>INDEX(products!$A$1:$G$49, MATCH(orders!$D241,products!$A$1:$A$49,0), MATCH(K$1,products!$A$1:$G$1,0))</f>
        <v>1</v>
      </c>
      <c r="L241" s="5">
        <f>INDEX(products!$A$1:$G$49, MATCH(orders!$D241,products!$A$1:$A$49,0), MATCH(L$1,products!$A$1:$G$1,0))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 = 0, "", _xlfn.XLOOKUP(C242,customers!$A$1:$A$1001,customers!$C$1:$C$1001,,0))</f>
        <v/>
      </c>
      <c r="H242" s="2" t="str">
        <f>_xlfn.XLOOKUP(C242,customers!$A$1:$A$1001,customers!$G$1:$G$1001,,0)</f>
        <v>United States</v>
      </c>
      <c r="I242" t="str">
        <f>INDEX(products!$A$1:$G$49, MATCH(orders!$D242,products!$A$1:$A$49,0), MATCH(I$1,products!$A$1:$G$1,0))</f>
        <v>Ara</v>
      </c>
      <c r="J242" t="str">
        <f>INDEX(products!$A$1:$G$49, MATCH(orders!$D242,products!$A$1:$A$49,0), MATCH(J$1,products!$A$1:$G$1,0))</f>
        <v>M</v>
      </c>
      <c r="K242" s="4">
        <f>INDEX(products!$A$1:$G$49, MATCH(orders!$D242,products!$A$1:$A$49,0), MATCH(K$1,products!$A$1:$G$1,0))</f>
        <v>2.5</v>
      </c>
      <c r="L242" s="5">
        <f>INDEX(products!$A$1:$G$49, MATCH(orders!$D242,products!$A$1:$A$49,0), MATCH(L$1,products!$A$1:$G$1,0))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 = 0, "", _xlfn.XLOOKUP(C243,customers!$A$1:$A$1001,customers!$C$1:$C$1001,,0))</f>
        <v/>
      </c>
      <c r="H243" s="2" t="str">
        <f>_xlfn.XLOOKUP(C243,customers!$A$1:$A$1001,customers!$G$1:$G$1001,,0)</f>
        <v>United States</v>
      </c>
      <c r="I243" t="str">
        <f>INDEX(products!$A$1:$G$49, MATCH(orders!$D243,products!$A$1:$A$49,0), MATCH(I$1,products!$A$1:$G$1,0))</f>
        <v>Rob</v>
      </c>
      <c r="J243" t="str">
        <f>INDEX(products!$A$1:$G$49, MATCH(orders!$D243,products!$A$1:$A$49,0), MATCH(J$1,products!$A$1:$G$1,0))</f>
        <v>M</v>
      </c>
      <c r="K243" s="4">
        <f>INDEX(products!$A$1:$G$49, MATCH(orders!$D243,products!$A$1:$A$49,0), MATCH(K$1,products!$A$1:$G$1,0))</f>
        <v>2.5</v>
      </c>
      <c r="L243" s="5">
        <f>INDEX(products!$A$1:$G$49, MATCH(orders!$D243,products!$A$1:$A$49,0), MATCH(L$1,products!$A$1:$G$1,0))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 = 0, "", _xlfn.XLOOKUP(C244,customers!$A$1:$A$1001,customers!$C$1:$C$1001,,0))</f>
        <v>srushbrooke6q@youku.com</v>
      </c>
      <c r="H244" s="2" t="str">
        <f>_xlfn.XLOOKUP(C244,customers!$A$1:$A$1001,customers!$G$1:$G$1001,,0)</f>
        <v>United States</v>
      </c>
      <c r="I244" t="str">
        <f>INDEX(products!$A$1:$G$49, MATCH(orders!$D244,products!$A$1:$A$49,0), MATCH(I$1,products!$A$1:$G$1,0))</f>
        <v>Exc</v>
      </c>
      <c r="J244" t="str">
        <f>INDEX(products!$A$1:$G$49, MATCH(orders!$D244,products!$A$1:$A$49,0), MATCH(J$1,products!$A$1:$G$1,0))</f>
        <v>D</v>
      </c>
      <c r="K244" s="4">
        <f>INDEX(products!$A$1:$G$49, MATCH(orders!$D244,products!$A$1:$A$49,0), MATCH(K$1,products!$A$1:$G$1,0))</f>
        <v>1</v>
      </c>
      <c r="L244" s="5">
        <f>INDEX(products!$A$1:$G$49, MATCH(orders!$D244,products!$A$1:$A$49,0), MATCH(L$1,products!$A$1:$G$1,0))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 = 0, "", _xlfn.XLOOKUP(C245,customers!$A$1:$A$1001,customers!$C$1:$C$1001,,0))</f>
        <v>tdrynan6r@deviantart.com</v>
      </c>
      <c r="H245" s="2" t="str">
        <f>_xlfn.XLOOKUP(C245,customers!$A$1:$A$1001,customers!$G$1:$G$1001,,0)</f>
        <v>United States</v>
      </c>
      <c r="I245" t="str">
        <f>INDEX(products!$A$1:$G$49, MATCH(orders!$D245,products!$A$1:$A$49,0), MATCH(I$1,products!$A$1:$G$1,0))</f>
        <v>Exc</v>
      </c>
      <c r="J245" t="str">
        <f>INDEX(products!$A$1:$G$49, MATCH(orders!$D245,products!$A$1:$A$49,0), MATCH(J$1,products!$A$1:$G$1,0))</f>
        <v>D</v>
      </c>
      <c r="K245" s="4">
        <f>INDEX(products!$A$1:$G$49, MATCH(orders!$D245,products!$A$1:$A$49,0), MATCH(K$1,products!$A$1:$G$1,0))</f>
        <v>0.5</v>
      </c>
      <c r="L245" s="5">
        <f>INDEX(products!$A$1:$G$49, MATCH(orders!$D245,products!$A$1:$A$49,0), MATCH(L$1,products!$A$1:$G$1,0))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 = 0, "", _xlfn.XLOOKUP(C246,customers!$A$1:$A$1001,customers!$C$1:$C$1001,,0))</f>
        <v>eyurkov6s@hud.gov</v>
      </c>
      <c r="H246" s="2" t="str">
        <f>_xlfn.XLOOKUP(C246,customers!$A$1:$A$1001,customers!$G$1:$G$1001,,0)</f>
        <v>United States</v>
      </c>
      <c r="I246" t="str">
        <f>INDEX(products!$A$1:$G$49, MATCH(orders!$D246,products!$A$1:$A$49,0), MATCH(I$1,products!$A$1:$G$1,0))</f>
        <v>Lib</v>
      </c>
      <c r="J246" t="str">
        <f>INDEX(products!$A$1:$G$49, MATCH(orders!$D246,products!$A$1:$A$49,0), MATCH(J$1,products!$A$1:$G$1,0))</f>
        <v>M</v>
      </c>
      <c r="K246" s="4">
        <f>INDEX(products!$A$1:$G$49, MATCH(orders!$D246,products!$A$1:$A$49,0), MATCH(K$1,products!$A$1:$G$1,0))</f>
        <v>2.5</v>
      </c>
      <c r="L246" s="5">
        <f>INDEX(products!$A$1:$G$49, MATCH(orders!$D246,products!$A$1:$A$49,0), MATCH(L$1,products!$A$1:$G$1,0))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 = 0, "", _xlfn.XLOOKUP(C247,customers!$A$1:$A$1001,customers!$C$1:$C$1001,,0))</f>
        <v>lmallan6t@state.gov</v>
      </c>
      <c r="H247" s="2" t="str">
        <f>_xlfn.XLOOKUP(C247,customers!$A$1:$A$1001,customers!$G$1:$G$1001,,0)</f>
        <v>United States</v>
      </c>
      <c r="I247" t="str">
        <f>INDEX(products!$A$1:$G$49, MATCH(orders!$D247,products!$A$1:$A$49,0), MATCH(I$1,products!$A$1:$G$1,0))</f>
        <v>Lib</v>
      </c>
      <c r="J247" t="str">
        <f>INDEX(products!$A$1:$G$49, MATCH(orders!$D247,products!$A$1:$A$49,0), MATCH(J$1,products!$A$1:$G$1,0))</f>
        <v>L</v>
      </c>
      <c r="K247" s="4">
        <f>INDEX(products!$A$1:$G$49, MATCH(orders!$D247,products!$A$1:$A$49,0), MATCH(K$1,products!$A$1:$G$1,0))</f>
        <v>0.2</v>
      </c>
      <c r="L247" s="5">
        <f>INDEX(products!$A$1:$G$49, MATCH(orders!$D247,products!$A$1:$A$49,0), MATCH(L$1,products!$A$1:$G$1,0))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 = 0, "", _xlfn.XLOOKUP(C248,customers!$A$1:$A$1001,customers!$C$1:$C$1001,,0))</f>
        <v>gbentjens6u@netlog.com</v>
      </c>
      <c r="H248" s="2" t="str">
        <f>_xlfn.XLOOKUP(C248,customers!$A$1:$A$1001,customers!$G$1:$G$1001,,0)</f>
        <v>United Kingdom</v>
      </c>
      <c r="I248" t="str">
        <f>INDEX(products!$A$1:$G$49, MATCH(orders!$D248,products!$A$1:$A$49,0), MATCH(I$1,products!$A$1:$G$1,0))</f>
        <v>Lib</v>
      </c>
      <c r="J248" t="str">
        <f>INDEX(products!$A$1:$G$49, MATCH(orders!$D248,products!$A$1:$A$49,0), MATCH(J$1,products!$A$1:$G$1,0))</f>
        <v>D</v>
      </c>
      <c r="K248" s="4">
        <f>INDEX(products!$A$1:$G$49, MATCH(orders!$D248,products!$A$1:$A$49,0), MATCH(K$1,products!$A$1:$G$1,0))</f>
        <v>1</v>
      </c>
      <c r="L248" s="5">
        <f>INDEX(products!$A$1:$G$49, MATCH(orders!$D248,products!$A$1:$A$49,0), MATCH(L$1,products!$A$1:$G$1,0))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 = 0, "", _xlfn.XLOOKUP(C249,customers!$A$1:$A$1001,customers!$C$1:$C$1001,,0))</f>
        <v/>
      </c>
      <c r="H249" s="2" t="str">
        <f>_xlfn.XLOOKUP(C249,customers!$A$1:$A$1001,customers!$G$1:$G$1001,,0)</f>
        <v>Ireland</v>
      </c>
      <c r="I249" t="str">
        <f>INDEX(products!$A$1:$G$49, MATCH(orders!$D249,products!$A$1:$A$49,0), MATCH(I$1,products!$A$1:$G$1,0))</f>
        <v>Rob</v>
      </c>
      <c r="J249" t="str">
        <f>INDEX(products!$A$1:$G$49, MATCH(orders!$D249,products!$A$1:$A$49,0), MATCH(J$1,products!$A$1:$G$1,0))</f>
        <v>L</v>
      </c>
      <c r="K249" s="4">
        <f>INDEX(products!$A$1:$G$49, MATCH(orders!$D249,products!$A$1:$A$49,0), MATCH(K$1,products!$A$1:$G$1,0))</f>
        <v>0.2</v>
      </c>
      <c r="L249" s="5">
        <f>INDEX(products!$A$1:$G$49, MATCH(orders!$D249,products!$A$1:$A$49,0), MATCH(L$1,products!$A$1:$G$1,0))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 = 0, "", _xlfn.XLOOKUP(C250,customers!$A$1:$A$1001,customers!$C$1:$C$1001,,0))</f>
        <v>lentwistle6w@omniture.com</v>
      </c>
      <c r="H250" s="2" t="str">
        <f>_xlfn.XLOOKUP(C250,customers!$A$1:$A$1001,customers!$G$1:$G$1001,,0)</f>
        <v>United States</v>
      </c>
      <c r="I250" t="str">
        <f>INDEX(products!$A$1:$G$49, MATCH(orders!$D250,products!$A$1:$A$49,0), MATCH(I$1,products!$A$1:$G$1,0))</f>
        <v>Ara</v>
      </c>
      <c r="J250" t="str">
        <f>INDEX(products!$A$1:$G$49, MATCH(orders!$D250,products!$A$1:$A$49,0), MATCH(J$1,products!$A$1:$G$1,0))</f>
        <v>D</v>
      </c>
      <c r="K250" s="4">
        <f>INDEX(products!$A$1:$G$49, MATCH(orders!$D250,products!$A$1:$A$49,0), MATCH(K$1,products!$A$1:$G$1,0))</f>
        <v>1</v>
      </c>
      <c r="L250" s="5">
        <f>INDEX(products!$A$1:$G$49, MATCH(orders!$D250,products!$A$1:$A$49,0), MATCH(L$1,products!$A$1:$G$1,0))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 = 0, "", _xlfn.XLOOKUP(C251,customers!$A$1:$A$1001,customers!$C$1:$C$1001,,0))</f>
        <v>zkiffe74@cyberchimps.com</v>
      </c>
      <c r="H251" s="2" t="str">
        <f>_xlfn.XLOOKUP(C251,customers!$A$1:$A$1001,customers!$G$1:$G$1001,,0)</f>
        <v>United States</v>
      </c>
      <c r="I251" t="str">
        <f>INDEX(products!$A$1:$G$49, MATCH(orders!$D251,products!$A$1:$A$49,0), MATCH(I$1,products!$A$1:$G$1,0))</f>
        <v>Lib</v>
      </c>
      <c r="J251" t="str">
        <f>INDEX(products!$A$1:$G$49, MATCH(orders!$D251,products!$A$1:$A$49,0), MATCH(J$1,products!$A$1:$G$1,0))</f>
        <v>L</v>
      </c>
      <c r="K251" s="4">
        <f>INDEX(products!$A$1:$G$49, MATCH(orders!$D251,products!$A$1:$A$49,0), MATCH(K$1,products!$A$1:$G$1,0))</f>
        <v>1</v>
      </c>
      <c r="L251" s="5">
        <f>INDEX(products!$A$1:$G$49, MATCH(orders!$D251,products!$A$1:$A$49,0), MATCH(L$1,products!$A$1:$G$1,0))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 = 0, "", _xlfn.XLOOKUP(C252,customers!$A$1:$A$1001,customers!$C$1:$C$1001,,0))</f>
        <v>macott6y@pagesperso-orange.fr</v>
      </c>
      <c r="H252" s="2" t="str">
        <f>_xlfn.XLOOKUP(C252,customers!$A$1:$A$1001,customers!$G$1:$G$1001,,0)</f>
        <v>United States</v>
      </c>
      <c r="I252" t="str">
        <f>INDEX(products!$A$1:$G$49, MATCH(orders!$D252,products!$A$1:$A$49,0), MATCH(I$1,products!$A$1:$G$1,0))</f>
        <v>Rob</v>
      </c>
      <c r="J252" t="str">
        <f>INDEX(products!$A$1:$G$49, MATCH(orders!$D252,products!$A$1:$A$49,0), MATCH(J$1,products!$A$1:$G$1,0))</f>
        <v>M</v>
      </c>
      <c r="K252" s="4">
        <f>INDEX(products!$A$1:$G$49, MATCH(orders!$D252,products!$A$1:$A$49,0), MATCH(K$1,products!$A$1:$G$1,0))</f>
        <v>0.2</v>
      </c>
      <c r="L252" s="5">
        <f>INDEX(products!$A$1:$G$49, MATCH(orders!$D252,products!$A$1:$A$49,0), MATCH(L$1,products!$A$1:$G$1,0))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 = 0, "", _xlfn.XLOOKUP(C253,customers!$A$1:$A$1001,customers!$C$1:$C$1001,,0))</f>
        <v>cheaviside6z@rediff.com</v>
      </c>
      <c r="H253" s="2" t="str">
        <f>_xlfn.XLOOKUP(C253,customers!$A$1:$A$1001,customers!$G$1:$G$1001,,0)</f>
        <v>United States</v>
      </c>
      <c r="I253" t="str">
        <f>INDEX(products!$A$1:$G$49, MATCH(orders!$D253,products!$A$1:$A$49,0), MATCH(I$1,products!$A$1:$G$1,0))</f>
        <v>Exc</v>
      </c>
      <c r="J253" t="str">
        <f>INDEX(products!$A$1:$G$49, MATCH(orders!$D253,products!$A$1:$A$49,0), MATCH(J$1,products!$A$1:$G$1,0))</f>
        <v>M</v>
      </c>
      <c r="K253" s="4">
        <f>INDEX(products!$A$1:$G$49, MATCH(orders!$D253,products!$A$1:$A$49,0), MATCH(K$1,products!$A$1:$G$1,0))</f>
        <v>1</v>
      </c>
      <c r="L253" s="5">
        <f>INDEX(products!$A$1:$G$49, MATCH(orders!$D253,products!$A$1:$A$49,0), MATCH(L$1,products!$A$1:$G$1,0))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 = 0, "", _xlfn.XLOOKUP(C254,customers!$A$1:$A$1001,customers!$C$1:$C$1001,,0))</f>
        <v/>
      </c>
      <c r="H254" s="2" t="str">
        <f>_xlfn.XLOOKUP(C254,customers!$A$1:$A$1001,customers!$G$1:$G$1001,,0)</f>
        <v>United States</v>
      </c>
      <c r="I254" t="str">
        <f>INDEX(products!$A$1:$G$49, MATCH(orders!$D254,products!$A$1:$A$49,0), MATCH(I$1,products!$A$1:$G$1,0))</f>
        <v>Ara</v>
      </c>
      <c r="J254" t="str">
        <f>INDEX(products!$A$1:$G$49, MATCH(orders!$D254,products!$A$1:$A$49,0), MATCH(J$1,products!$A$1:$G$1,0))</f>
        <v>D</v>
      </c>
      <c r="K254" s="4">
        <f>INDEX(products!$A$1:$G$49, MATCH(orders!$D254,products!$A$1:$A$49,0), MATCH(K$1,products!$A$1:$G$1,0))</f>
        <v>1</v>
      </c>
      <c r="L254" s="5">
        <f>INDEX(products!$A$1:$G$49, MATCH(orders!$D254,products!$A$1:$A$49,0), MATCH(L$1,products!$A$1:$G$1,0))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 = 0, "", _xlfn.XLOOKUP(C255,customers!$A$1:$A$1001,customers!$C$1:$C$1001,,0))</f>
        <v>lkernan71@wsj.com</v>
      </c>
      <c r="H255" s="2" t="str">
        <f>_xlfn.XLOOKUP(C255,customers!$A$1:$A$1001,customers!$G$1:$G$1001,,0)</f>
        <v>United States</v>
      </c>
      <c r="I255" t="str">
        <f>INDEX(products!$A$1:$G$49, MATCH(orders!$D255,products!$A$1:$A$49,0), MATCH(I$1,products!$A$1:$G$1,0))</f>
        <v>Lib</v>
      </c>
      <c r="J255" t="str">
        <f>INDEX(products!$A$1:$G$49, MATCH(orders!$D255,products!$A$1:$A$49,0), MATCH(J$1,products!$A$1:$G$1,0))</f>
        <v>M</v>
      </c>
      <c r="K255" s="4">
        <f>INDEX(products!$A$1:$G$49, MATCH(orders!$D255,products!$A$1:$A$49,0), MATCH(K$1,products!$A$1:$G$1,0))</f>
        <v>1</v>
      </c>
      <c r="L255" s="5">
        <f>INDEX(products!$A$1:$G$49, MATCH(orders!$D255,products!$A$1:$A$49,0), MATCH(L$1,products!$A$1:$G$1,0))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 = 0, "", _xlfn.XLOOKUP(C256,customers!$A$1:$A$1001,customers!$C$1:$C$1001,,0))</f>
        <v>rmclae72@dailymotion.com</v>
      </c>
      <c r="H256" s="2" t="str">
        <f>_xlfn.XLOOKUP(C256,customers!$A$1:$A$1001,customers!$G$1:$G$1001,,0)</f>
        <v>United Kingdom</v>
      </c>
      <c r="I256" t="str">
        <f>INDEX(products!$A$1:$G$49, MATCH(orders!$D256,products!$A$1:$A$49,0), MATCH(I$1,products!$A$1:$G$1,0))</f>
        <v>Rob</v>
      </c>
      <c r="J256" t="str">
        <f>INDEX(products!$A$1:$G$49, MATCH(orders!$D256,products!$A$1:$A$49,0), MATCH(J$1,products!$A$1:$G$1,0))</f>
        <v>L</v>
      </c>
      <c r="K256" s="4">
        <f>INDEX(products!$A$1:$G$49, MATCH(orders!$D256,products!$A$1:$A$49,0), MATCH(K$1,products!$A$1:$G$1,0))</f>
        <v>0.5</v>
      </c>
      <c r="L256" s="5">
        <f>INDEX(products!$A$1:$G$49, MATCH(orders!$D256,products!$A$1:$A$49,0), MATCH(L$1,products!$A$1:$G$1,0))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 = 0, "", _xlfn.XLOOKUP(C257,customers!$A$1:$A$1001,customers!$C$1:$C$1001,,0))</f>
        <v>cblowfelde73@ustream.tv</v>
      </c>
      <c r="H257" s="2" t="str">
        <f>_xlfn.XLOOKUP(C257,customers!$A$1:$A$1001,customers!$G$1:$G$1001,,0)</f>
        <v>United States</v>
      </c>
      <c r="I257" t="str">
        <f>INDEX(products!$A$1:$G$49, MATCH(orders!$D257,products!$A$1:$A$49,0), MATCH(I$1,products!$A$1:$G$1,0))</f>
        <v>Rob</v>
      </c>
      <c r="J257" t="str">
        <f>INDEX(products!$A$1:$G$49, MATCH(orders!$D257,products!$A$1:$A$49,0), MATCH(J$1,products!$A$1:$G$1,0))</f>
        <v>L</v>
      </c>
      <c r="K257" s="4">
        <f>INDEX(products!$A$1:$G$49, MATCH(orders!$D257,products!$A$1:$A$49,0), MATCH(K$1,products!$A$1:$G$1,0))</f>
        <v>0.5</v>
      </c>
      <c r="L257" s="5">
        <f>INDEX(products!$A$1:$G$49, MATCH(orders!$D257,products!$A$1:$A$49,0), MATCH(L$1,products!$A$1:$G$1,0))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 = 0, "", _xlfn.XLOOKUP(C258,customers!$A$1:$A$1001,customers!$C$1:$C$1001,,0))</f>
        <v>zkiffe74@cyberchimps.com</v>
      </c>
      <c r="H258" s="2" t="str">
        <f>_xlfn.XLOOKUP(C258,customers!$A$1:$A$1001,customers!$G$1:$G$1001,,0)</f>
        <v>United States</v>
      </c>
      <c r="I258" t="str">
        <f>INDEX(products!$A$1:$G$49, MATCH(orders!$D258,products!$A$1:$A$49,0), MATCH(I$1,products!$A$1:$G$1,0))</f>
        <v>Lib</v>
      </c>
      <c r="J258" t="str">
        <f>INDEX(products!$A$1:$G$49, MATCH(orders!$D258,products!$A$1:$A$49,0), MATCH(J$1,products!$A$1:$G$1,0))</f>
        <v>M</v>
      </c>
      <c r="K258" s="4">
        <f>INDEX(products!$A$1:$G$49, MATCH(orders!$D258,products!$A$1:$A$49,0), MATCH(K$1,products!$A$1:$G$1,0))</f>
        <v>0.5</v>
      </c>
      <c r="L258" s="5">
        <f>INDEX(products!$A$1:$G$49, MATCH(orders!$D258,products!$A$1:$A$49,0), MATCH(L$1,products!$A$1:$G$1,0))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 = 0, "", _xlfn.XLOOKUP(C259,customers!$A$1:$A$1001,customers!$C$1:$C$1001,,0))</f>
        <v>docalleran75@ucla.edu</v>
      </c>
      <c r="H259" s="2" t="str">
        <f>_xlfn.XLOOKUP(C259,customers!$A$1:$A$1001,customers!$G$1:$G$1001,,0)</f>
        <v>United States</v>
      </c>
      <c r="I259" t="str">
        <f>INDEX(products!$A$1:$G$49, MATCH(orders!$D259,products!$A$1:$A$49,0), MATCH(I$1,products!$A$1:$G$1,0))</f>
        <v>Exc</v>
      </c>
      <c r="J259" t="str">
        <f>INDEX(products!$A$1:$G$49, MATCH(orders!$D259,products!$A$1:$A$49,0), MATCH(J$1,products!$A$1:$G$1,0))</f>
        <v>D</v>
      </c>
      <c r="K259" s="4">
        <f>INDEX(products!$A$1:$G$49, MATCH(orders!$D259,products!$A$1:$A$49,0), MATCH(K$1,products!$A$1:$G$1,0))</f>
        <v>2.5</v>
      </c>
      <c r="L259" s="5">
        <f>INDEX(products!$A$1:$G$49, MATCH(orders!$D259,products!$A$1:$A$49,0), MATCH(L$1,products!$A$1:$G$1,0))</f>
        <v>27.945</v>
      </c>
      <c r="M259" s="5">
        <f t="shared" ref="M259:M322" si="12">L259*E259</f>
        <v>27.945</v>
      </c>
      <c r="N259" t="str">
        <f t="shared" ref="N259:N322" si="13">IF(I259="Rob", "Robusta", IF(I259 = "Exc", "Excelsa", IF(I259 = "Ara", "Arabica", IF(I259 = "Lib", "Liberica", ""))))</f>
        <v>Excelsa</v>
      </c>
      <c r="O259" t="str">
        <f t="shared" ref="O259:O322" si="14">IF(J259 = "M", "Medium", IF(J259 = "L", "Light", IF( J259 = "D", "Dark", "")))</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 = 0, "", _xlfn.XLOOKUP(C260,customers!$A$1:$A$1001,customers!$C$1:$C$1001,,0))</f>
        <v>ccromwell76@desdev.cn</v>
      </c>
      <c r="H260" s="2" t="str">
        <f>_xlfn.XLOOKUP(C260,customers!$A$1:$A$1001,customers!$G$1:$G$1001,,0)</f>
        <v>United States</v>
      </c>
      <c r="I260" t="str">
        <f>INDEX(products!$A$1:$G$49, MATCH(orders!$D260,products!$A$1:$A$49,0), MATCH(I$1,products!$A$1:$G$1,0))</f>
        <v>Exc</v>
      </c>
      <c r="J260" t="str">
        <f>INDEX(products!$A$1:$G$49, MATCH(orders!$D260,products!$A$1:$A$49,0), MATCH(J$1,products!$A$1:$G$1,0))</f>
        <v>D</v>
      </c>
      <c r="K260" s="4">
        <f>INDEX(products!$A$1:$G$49, MATCH(orders!$D260,products!$A$1:$A$49,0), MATCH(K$1,products!$A$1:$G$1,0))</f>
        <v>2.5</v>
      </c>
      <c r="L260" s="5">
        <f>INDEX(products!$A$1:$G$49, MATCH(orders!$D260,products!$A$1:$A$49,0), MATCH(L$1,products!$A$1:$G$1,0))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 = 0, "", _xlfn.XLOOKUP(C261,customers!$A$1:$A$1001,customers!$C$1:$C$1001,,0))</f>
        <v>ihay77@lulu.com</v>
      </c>
      <c r="H261" s="2" t="str">
        <f>_xlfn.XLOOKUP(C261,customers!$A$1:$A$1001,customers!$G$1:$G$1001,,0)</f>
        <v>United Kingdom</v>
      </c>
      <c r="I261" t="str">
        <f>INDEX(products!$A$1:$G$49, MATCH(orders!$D261,products!$A$1:$A$49,0), MATCH(I$1,products!$A$1:$G$1,0))</f>
        <v>Rob</v>
      </c>
      <c r="J261" t="str">
        <f>INDEX(products!$A$1:$G$49, MATCH(orders!$D261,products!$A$1:$A$49,0), MATCH(J$1,products!$A$1:$G$1,0))</f>
        <v>M</v>
      </c>
      <c r="K261" s="4">
        <f>INDEX(products!$A$1:$G$49, MATCH(orders!$D261,products!$A$1:$A$49,0), MATCH(K$1,products!$A$1:$G$1,0))</f>
        <v>0.2</v>
      </c>
      <c r="L261" s="5">
        <f>INDEX(products!$A$1:$G$49, MATCH(orders!$D261,products!$A$1:$A$49,0), MATCH(L$1,products!$A$1:$G$1,0))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 = 0, "", _xlfn.XLOOKUP(C262,customers!$A$1:$A$1001,customers!$C$1:$C$1001,,0))</f>
        <v>ttaffarello78@sciencedaily.com</v>
      </c>
      <c r="H262" s="2" t="str">
        <f>_xlfn.XLOOKUP(C262,customers!$A$1:$A$1001,customers!$G$1:$G$1001,,0)</f>
        <v>United States</v>
      </c>
      <c r="I262" t="str">
        <f>INDEX(products!$A$1:$G$49, MATCH(orders!$D262,products!$A$1:$A$49,0), MATCH(I$1,products!$A$1:$G$1,0))</f>
        <v>Rob</v>
      </c>
      <c r="J262" t="str">
        <f>INDEX(products!$A$1:$G$49, MATCH(orders!$D262,products!$A$1:$A$49,0), MATCH(J$1,products!$A$1:$G$1,0))</f>
        <v>L</v>
      </c>
      <c r="K262" s="4">
        <f>INDEX(products!$A$1:$G$49, MATCH(orders!$D262,products!$A$1:$A$49,0), MATCH(K$1,products!$A$1:$G$1,0))</f>
        <v>2.5</v>
      </c>
      <c r="L262" s="5">
        <f>INDEX(products!$A$1:$G$49, MATCH(orders!$D262,products!$A$1:$A$49,0), MATCH(L$1,products!$A$1:$G$1,0))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 = 0, "", _xlfn.XLOOKUP(C263,customers!$A$1:$A$1001,customers!$C$1:$C$1001,,0))</f>
        <v>mcanty79@jigsy.com</v>
      </c>
      <c r="H263" s="2" t="str">
        <f>_xlfn.XLOOKUP(C263,customers!$A$1:$A$1001,customers!$G$1:$G$1001,,0)</f>
        <v>United States</v>
      </c>
      <c r="I263" t="str">
        <f>INDEX(products!$A$1:$G$49, MATCH(orders!$D263,products!$A$1:$A$49,0), MATCH(I$1,products!$A$1:$G$1,0))</f>
        <v>Rob</v>
      </c>
      <c r="J263" t="str">
        <f>INDEX(products!$A$1:$G$49, MATCH(orders!$D263,products!$A$1:$A$49,0), MATCH(J$1,products!$A$1:$G$1,0))</f>
        <v>L</v>
      </c>
      <c r="K263" s="4">
        <f>INDEX(products!$A$1:$G$49, MATCH(orders!$D263,products!$A$1:$A$49,0), MATCH(K$1,products!$A$1:$G$1,0))</f>
        <v>1</v>
      </c>
      <c r="L263" s="5">
        <f>INDEX(products!$A$1:$G$49, MATCH(orders!$D263,products!$A$1:$A$49,0), MATCH(L$1,products!$A$1:$G$1,0))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 = 0, "", _xlfn.XLOOKUP(C264,customers!$A$1:$A$1001,customers!$C$1:$C$1001,,0))</f>
        <v>jkopke7a@auda.org.au</v>
      </c>
      <c r="H264" s="2" t="str">
        <f>_xlfn.XLOOKUP(C264,customers!$A$1:$A$1001,customers!$G$1:$G$1001,,0)</f>
        <v>United States</v>
      </c>
      <c r="I264" t="str">
        <f>INDEX(products!$A$1:$G$49, MATCH(orders!$D264,products!$A$1:$A$49,0), MATCH(I$1,products!$A$1:$G$1,0))</f>
        <v>Exc</v>
      </c>
      <c r="J264" t="str">
        <f>INDEX(products!$A$1:$G$49, MATCH(orders!$D264,products!$A$1:$A$49,0), MATCH(J$1,products!$A$1:$G$1,0))</f>
        <v>M</v>
      </c>
      <c r="K264" s="4">
        <f>INDEX(products!$A$1:$G$49, MATCH(orders!$D264,products!$A$1:$A$49,0), MATCH(K$1,products!$A$1:$G$1,0))</f>
        <v>1</v>
      </c>
      <c r="L264" s="5">
        <f>INDEX(products!$A$1:$G$49, MATCH(orders!$D264,products!$A$1:$A$49,0), MATCH(L$1,products!$A$1:$G$1,0))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 = 0, "", _xlfn.XLOOKUP(C265,customers!$A$1:$A$1001,customers!$C$1:$C$1001,,0))</f>
        <v/>
      </c>
      <c r="H265" s="2" t="str">
        <f>_xlfn.XLOOKUP(C265,customers!$A$1:$A$1001,customers!$G$1:$G$1001,,0)</f>
        <v>United States</v>
      </c>
      <c r="I265" t="str">
        <f>INDEX(products!$A$1:$G$49, MATCH(orders!$D265,products!$A$1:$A$49,0), MATCH(I$1,products!$A$1:$G$1,0))</f>
        <v>Lib</v>
      </c>
      <c r="J265" t="str">
        <f>INDEX(products!$A$1:$G$49, MATCH(orders!$D265,products!$A$1:$A$49,0), MATCH(J$1,products!$A$1:$G$1,0))</f>
        <v>M</v>
      </c>
      <c r="K265" s="4">
        <f>INDEX(products!$A$1:$G$49, MATCH(orders!$D265,products!$A$1:$A$49,0), MATCH(K$1,products!$A$1:$G$1,0))</f>
        <v>2.5</v>
      </c>
      <c r="L265" s="5">
        <f>INDEX(products!$A$1:$G$49, MATCH(orders!$D265,products!$A$1:$A$49,0), MATCH(L$1,products!$A$1:$G$1,0))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 = 0, "", _xlfn.XLOOKUP(C266,customers!$A$1:$A$1001,customers!$C$1:$C$1001,,0))</f>
        <v/>
      </c>
      <c r="H266" s="2" t="str">
        <f>_xlfn.XLOOKUP(C266,customers!$A$1:$A$1001,customers!$G$1:$G$1001,,0)</f>
        <v>Ireland</v>
      </c>
      <c r="I266" t="str">
        <f>INDEX(products!$A$1:$G$49, MATCH(orders!$D266,products!$A$1:$A$49,0), MATCH(I$1,products!$A$1:$G$1,0))</f>
        <v>Rob</v>
      </c>
      <c r="J266" t="str">
        <f>INDEX(products!$A$1:$G$49, MATCH(orders!$D266,products!$A$1:$A$49,0), MATCH(J$1,products!$A$1:$G$1,0))</f>
        <v>L</v>
      </c>
      <c r="K266" s="4">
        <f>INDEX(products!$A$1:$G$49, MATCH(orders!$D266,products!$A$1:$A$49,0), MATCH(K$1,products!$A$1:$G$1,0))</f>
        <v>1</v>
      </c>
      <c r="L266" s="5">
        <f>INDEX(products!$A$1:$G$49, MATCH(orders!$D266,products!$A$1:$A$49,0), MATCH(L$1,products!$A$1:$G$1,0))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 = 0, "", _xlfn.XLOOKUP(C267,customers!$A$1:$A$1001,customers!$C$1:$C$1001,,0))</f>
        <v>vhellmore7d@bbc.co.uk</v>
      </c>
      <c r="H267" s="2" t="str">
        <f>_xlfn.XLOOKUP(C267,customers!$A$1:$A$1001,customers!$G$1:$G$1001,,0)</f>
        <v>United States</v>
      </c>
      <c r="I267" t="str">
        <f>INDEX(products!$A$1:$G$49, MATCH(orders!$D267,products!$A$1:$A$49,0), MATCH(I$1,products!$A$1:$G$1,0))</f>
        <v>Ara</v>
      </c>
      <c r="J267" t="str">
        <f>INDEX(products!$A$1:$G$49, MATCH(orders!$D267,products!$A$1:$A$49,0), MATCH(J$1,products!$A$1:$G$1,0))</f>
        <v>D</v>
      </c>
      <c r="K267" s="4">
        <f>INDEX(products!$A$1:$G$49, MATCH(orders!$D267,products!$A$1:$A$49,0), MATCH(K$1,products!$A$1:$G$1,0))</f>
        <v>0.5</v>
      </c>
      <c r="L267" s="5">
        <f>INDEX(products!$A$1:$G$49, MATCH(orders!$D267,products!$A$1:$A$49,0), MATCH(L$1,products!$A$1:$G$1,0))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 = 0, "", _xlfn.XLOOKUP(C268,customers!$A$1:$A$1001,customers!$C$1:$C$1001,,0))</f>
        <v>mseawright7e@nbcnews.com</v>
      </c>
      <c r="H268" s="2" t="str">
        <f>_xlfn.XLOOKUP(C268,customers!$A$1:$A$1001,customers!$G$1:$G$1001,,0)</f>
        <v>United Kingdom</v>
      </c>
      <c r="I268" t="str">
        <f>INDEX(products!$A$1:$G$49, MATCH(orders!$D268,products!$A$1:$A$49,0), MATCH(I$1,products!$A$1:$G$1,0))</f>
        <v>Exc</v>
      </c>
      <c r="J268" t="str">
        <f>INDEX(products!$A$1:$G$49, MATCH(orders!$D268,products!$A$1:$A$49,0), MATCH(J$1,products!$A$1:$G$1,0))</f>
        <v>D</v>
      </c>
      <c r="K268" s="4">
        <f>INDEX(products!$A$1:$G$49, MATCH(orders!$D268,products!$A$1:$A$49,0), MATCH(K$1,products!$A$1:$G$1,0))</f>
        <v>1</v>
      </c>
      <c r="L268" s="5">
        <f>INDEX(products!$A$1:$G$49, MATCH(orders!$D268,products!$A$1:$A$49,0), MATCH(L$1,products!$A$1:$G$1,0))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 = 0, "", _xlfn.XLOOKUP(C269,customers!$A$1:$A$1001,customers!$C$1:$C$1001,,0))</f>
        <v>snortheast7f@mashable.com</v>
      </c>
      <c r="H269" s="2" t="str">
        <f>_xlfn.XLOOKUP(C269,customers!$A$1:$A$1001,customers!$G$1:$G$1001,,0)</f>
        <v>United States</v>
      </c>
      <c r="I269" t="str">
        <f>INDEX(products!$A$1:$G$49, MATCH(orders!$D269,products!$A$1:$A$49,0), MATCH(I$1,products!$A$1:$G$1,0))</f>
        <v>Exc</v>
      </c>
      <c r="J269" t="str">
        <f>INDEX(products!$A$1:$G$49, MATCH(orders!$D269,products!$A$1:$A$49,0), MATCH(J$1,products!$A$1:$G$1,0))</f>
        <v>D</v>
      </c>
      <c r="K269" s="4">
        <f>INDEX(products!$A$1:$G$49, MATCH(orders!$D269,products!$A$1:$A$49,0), MATCH(K$1,products!$A$1:$G$1,0))</f>
        <v>0.2</v>
      </c>
      <c r="L269" s="5">
        <f>INDEX(products!$A$1:$G$49, MATCH(orders!$D269,products!$A$1:$A$49,0), MATCH(L$1,products!$A$1:$G$1,0))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 = 0, "", _xlfn.XLOOKUP(C270,customers!$A$1:$A$1001,customers!$C$1:$C$1001,,0))</f>
        <v>aattwater5u@wikia.com</v>
      </c>
      <c r="H270" s="2" t="str">
        <f>_xlfn.XLOOKUP(C270,customers!$A$1:$A$1001,customers!$G$1:$G$1001,,0)</f>
        <v>United States</v>
      </c>
      <c r="I270" t="str">
        <f>INDEX(products!$A$1:$G$49, MATCH(orders!$D270,products!$A$1:$A$49,0), MATCH(I$1,products!$A$1:$G$1,0))</f>
        <v>Ara</v>
      </c>
      <c r="J270" t="str">
        <f>INDEX(products!$A$1:$G$49, MATCH(orders!$D270,products!$A$1:$A$49,0), MATCH(J$1,products!$A$1:$G$1,0))</f>
        <v>D</v>
      </c>
      <c r="K270" s="4">
        <f>INDEX(products!$A$1:$G$49, MATCH(orders!$D270,products!$A$1:$A$49,0), MATCH(K$1,products!$A$1:$G$1,0))</f>
        <v>1</v>
      </c>
      <c r="L270" s="5">
        <f>INDEX(products!$A$1:$G$49, MATCH(orders!$D270,products!$A$1:$A$49,0), MATCH(L$1,products!$A$1:$G$1,0))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 = 0, "", _xlfn.XLOOKUP(C271,customers!$A$1:$A$1001,customers!$C$1:$C$1001,,0))</f>
        <v>mfearon7h@reverbnation.com</v>
      </c>
      <c r="H271" s="2" t="str">
        <f>_xlfn.XLOOKUP(C271,customers!$A$1:$A$1001,customers!$G$1:$G$1001,,0)</f>
        <v>United States</v>
      </c>
      <c r="I271" t="str">
        <f>INDEX(products!$A$1:$G$49, MATCH(orders!$D271,products!$A$1:$A$49,0), MATCH(I$1,products!$A$1:$G$1,0))</f>
        <v>Ara</v>
      </c>
      <c r="J271" t="str">
        <f>INDEX(products!$A$1:$G$49, MATCH(orders!$D271,products!$A$1:$A$49,0), MATCH(J$1,products!$A$1:$G$1,0))</f>
        <v>D</v>
      </c>
      <c r="K271" s="4">
        <f>INDEX(products!$A$1:$G$49, MATCH(orders!$D271,products!$A$1:$A$49,0), MATCH(K$1,products!$A$1:$G$1,0))</f>
        <v>0.2</v>
      </c>
      <c r="L271" s="5">
        <f>INDEX(products!$A$1:$G$49, MATCH(orders!$D271,products!$A$1:$A$49,0), MATCH(L$1,products!$A$1:$G$1,0))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 = 0, "", _xlfn.XLOOKUP(C272,customers!$A$1:$A$1001,customers!$C$1:$C$1001,,0))</f>
        <v/>
      </c>
      <c r="H272" s="2" t="str">
        <f>_xlfn.XLOOKUP(C272,customers!$A$1:$A$1001,customers!$G$1:$G$1001,,0)</f>
        <v>Ireland</v>
      </c>
      <c r="I272" t="str">
        <f>INDEX(products!$A$1:$G$49, MATCH(orders!$D272,products!$A$1:$A$49,0), MATCH(I$1,products!$A$1:$G$1,0))</f>
        <v>Exc</v>
      </c>
      <c r="J272" t="str">
        <f>INDEX(products!$A$1:$G$49, MATCH(orders!$D272,products!$A$1:$A$49,0), MATCH(J$1,products!$A$1:$G$1,0))</f>
        <v>D</v>
      </c>
      <c r="K272" s="4">
        <f>INDEX(products!$A$1:$G$49, MATCH(orders!$D272,products!$A$1:$A$49,0), MATCH(K$1,products!$A$1:$G$1,0))</f>
        <v>0.5</v>
      </c>
      <c r="L272" s="5">
        <f>INDEX(products!$A$1:$G$49, MATCH(orders!$D272,products!$A$1:$A$49,0), MATCH(L$1,products!$A$1:$G$1,0))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 = 0, "", _xlfn.XLOOKUP(C273,customers!$A$1:$A$1001,customers!$C$1:$C$1001,,0))</f>
        <v>jsisneros7j@a8.net</v>
      </c>
      <c r="H273" s="2" t="str">
        <f>_xlfn.XLOOKUP(C273,customers!$A$1:$A$1001,customers!$G$1:$G$1001,,0)</f>
        <v>United States</v>
      </c>
      <c r="I273" t="str">
        <f>INDEX(products!$A$1:$G$49, MATCH(orders!$D273,products!$A$1:$A$49,0), MATCH(I$1,products!$A$1:$G$1,0))</f>
        <v>Ara</v>
      </c>
      <c r="J273" t="str">
        <f>INDEX(products!$A$1:$G$49, MATCH(orders!$D273,products!$A$1:$A$49,0), MATCH(J$1,products!$A$1:$G$1,0))</f>
        <v>D</v>
      </c>
      <c r="K273" s="4">
        <f>INDEX(products!$A$1:$G$49, MATCH(orders!$D273,products!$A$1:$A$49,0), MATCH(K$1,products!$A$1:$G$1,0))</f>
        <v>0.2</v>
      </c>
      <c r="L273" s="5">
        <f>INDEX(products!$A$1:$G$49, MATCH(orders!$D273,products!$A$1:$A$49,0), MATCH(L$1,products!$A$1:$G$1,0))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 = 0, "", _xlfn.XLOOKUP(C274,customers!$A$1:$A$1001,customers!$C$1:$C$1001,,0))</f>
        <v>zcarlson7k@bigcartel.com</v>
      </c>
      <c r="H274" s="2" t="str">
        <f>_xlfn.XLOOKUP(C274,customers!$A$1:$A$1001,customers!$G$1:$G$1001,,0)</f>
        <v>Ireland</v>
      </c>
      <c r="I274" t="str">
        <f>INDEX(products!$A$1:$G$49, MATCH(orders!$D274,products!$A$1:$A$49,0), MATCH(I$1,products!$A$1:$G$1,0))</f>
        <v>Rob</v>
      </c>
      <c r="J274" t="str">
        <f>INDEX(products!$A$1:$G$49, MATCH(orders!$D274,products!$A$1:$A$49,0), MATCH(J$1,products!$A$1:$G$1,0))</f>
        <v>L</v>
      </c>
      <c r="K274" s="4">
        <f>INDEX(products!$A$1:$G$49, MATCH(orders!$D274,products!$A$1:$A$49,0), MATCH(K$1,products!$A$1:$G$1,0))</f>
        <v>1</v>
      </c>
      <c r="L274" s="5">
        <f>INDEX(products!$A$1:$G$49, MATCH(orders!$D274,products!$A$1:$A$49,0), MATCH(L$1,products!$A$1:$G$1,0))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 = 0, "", _xlfn.XLOOKUP(C275,customers!$A$1:$A$1001,customers!$C$1:$C$1001,,0))</f>
        <v>wmaddox7l@timesonline.co.uk</v>
      </c>
      <c r="H275" s="2" t="str">
        <f>_xlfn.XLOOKUP(C275,customers!$A$1:$A$1001,customers!$G$1:$G$1001,,0)</f>
        <v>United States</v>
      </c>
      <c r="I275" t="str">
        <f>INDEX(products!$A$1:$G$49, MATCH(orders!$D275,products!$A$1:$A$49,0), MATCH(I$1,products!$A$1:$G$1,0))</f>
        <v>Ara</v>
      </c>
      <c r="J275" t="str">
        <f>INDEX(products!$A$1:$G$49, MATCH(orders!$D275,products!$A$1:$A$49,0), MATCH(J$1,products!$A$1:$G$1,0))</f>
        <v>L</v>
      </c>
      <c r="K275" s="4">
        <f>INDEX(products!$A$1:$G$49, MATCH(orders!$D275,products!$A$1:$A$49,0), MATCH(K$1,products!$A$1:$G$1,0))</f>
        <v>0.2</v>
      </c>
      <c r="L275" s="5">
        <f>INDEX(products!$A$1:$G$49, MATCH(orders!$D275,products!$A$1:$A$49,0), MATCH(L$1,products!$A$1:$G$1,0))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 = 0, "", _xlfn.XLOOKUP(C276,customers!$A$1:$A$1001,customers!$C$1:$C$1001,,0))</f>
        <v>dhedlestone7m@craigslist.org</v>
      </c>
      <c r="H276" s="2" t="str">
        <f>_xlfn.XLOOKUP(C276,customers!$A$1:$A$1001,customers!$G$1:$G$1001,,0)</f>
        <v>United States</v>
      </c>
      <c r="I276" t="str">
        <f>INDEX(products!$A$1:$G$49, MATCH(orders!$D276,products!$A$1:$A$49,0), MATCH(I$1,products!$A$1:$G$1,0))</f>
        <v>Ara</v>
      </c>
      <c r="J276" t="str">
        <f>INDEX(products!$A$1:$G$49, MATCH(orders!$D276,products!$A$1:$A$49,0), MATCH(J$1,products!$A$1:$G$1,0))</f>
        <v>M</v>
      </c>
      <c r="K276" s="4">
        <f>INDEX(products!$A$1:$G$49, MATCH(orders!$D276,products!$A$1:$A$49,0), MATCH(K$1,products!$A$1:$G$1,0))</f>
        <v>2.5</v>
      </c>
      <c r="L276" s="5">
        <f>INDEX(products!$A$1:$G$49, MATCH(orders!$D276,products!$A$1:$A$49,0), MATCH(L$1,products!$A$1:$G$1,0))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 = 0, "", _xlfn.XLOOKUP(C277,customers!$A$1:$A$1001,customers!$C$1:$C$1001,,0))</f>
        <v>tcrowthe7n@europa.eu</v>
      </c>
      <c r="H277" s="2" t="str">
        <f>_xlfn.XLOOKUP(C277,customers!$A$1:$A$1001,customers!$G$1:$G$1001,,0)</f>
        <v>United States</v>
      </c>
      <c r="I277" t="str">
        <f>INDEX(products!$A$1:$G$49, MATCH(orders!$D277,products!$A$1:$A$49,0), MATCH(I$1,products!$A$1:$G$1,0))</f>
        <v>Exc</v>
      </c>
      <c r="J277" t="str">
        <f>INDEX(products!$A$1:$G$49, MATCH(orders!$D277,products!$A$1:$A$49,0), MATCH(J$1,products!$A$1:$G$1,0))</f>
        <v>L</v>
      </c>
      <c r="K277" s="4">
        <f>INDEX(products!$A$1:$G$49, MATCH(orders!$D277,products!$A$1:$A$49,0), MATCH(K$1,products!$A$1:$G$1,0))</f>
        <v>2.5</v>
      </c>
      <c r="L277" s="5">
        <f>INDEX(products!$A$1:$G$49, MATCH(orders!$D277,products!$A$1:$A$49,0), MATCH(L$1,products!$A$1:$G$1,0))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 = 0, "", _xlfn.XLOOKUP(C278,customers!$A$1:$A$1001,customers!$C$1:$C$1001,,0))</f>
        <v>dbury7o@tinyurl.com</v>
      </c>
      <c r="H278" s="2" t="str">
        <f>_xlfn.XLOOKUP(C278,customers!$A$1:$A$1001,customers!$G$1:$G$1001,,0)</f>
        <v>Ireland</v>
      </c>
      <c r="I278" t="str">
        <f>INDEX(products!$A$1:$G$49, MATCH(orders!$D278,products!$A$1:$A$49,0), MATCH(I$1,products!$A$1:$G$1,0))</f>
        <v>Rob</v>
      </c>
      <c r="J278" t="str">
        <f>INDEX(products!$A$1:$G$49, MATCH(orders!$D278,products!$A$1:$A$49,0), MATCH(J$1,products!$A$1:$G$1,0))</f>
        <v>L</v>
      </c>
      <c r="K278" s="4">
        <f>INDEX(products!$A$1:$G$49, MATCH(orders!$D278,products!$A$1:$A$49,0), MATCH(K$1,products!$A$1:$G$1,0))</f>
        <v>2.5</v>
      </c>
      <c r="L278" s="5">
        <f>INDEX(products!$A$1:$G$49, MATCH(orders!$D278,products!$A$1:$A$49,0), MATCH(L$1,products!$A$1:$G$1,0))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 = 0, "", _xlfn.XLOOKUP(C279,customers!$A$1:$A$1001,customers!$C$1:$C$1001,,0))</f>
        <v>gbroadbear7p@omniture.com</v>
      </c>
      <c r="H279" s="2" t="str">
        <f>_xlfn.XLOOKUP(C279,customers!$A$1:$A$1001,customers!$G$1:$G$1001,,0)</f>
        <v>United States</v>
      </c>
      <c r="I279" t="str">
        <f>INDEX(products!$A$1:$G$49, MATCH(orders!$D279,products!$A$1:$A$49,0), MATCH(I$1,products!$A$1:$G$1,0))</f>
        <v>Exc</v>
      </c>
      <c r="J279" t="str">
        <f>INDEX(products!$A$1:$G$49, MATCH(orders!$D279,products!$A$1:$A$49,0), MATCH(J$1,products!$A$1:$G$1,0))</f>
        <v>L</v>
      </c>
      <c r="K279" s="4">
        <f>INDEX(products!$A$1:$G$49, MATCH(orders!$D279,products!$A$1:$A$49,0), MATCH(K$1,products!$A$1:$G$1,0))</f>
        <v>1</v>
      </c>
      <c r="L279" s="5">
        <f>INDEX(products!$A$1:$G$49, MATCH(orders!$D279,products!$A$1:$A$49,0), MATCH(L$1,products!$A$1:$G$1,0))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 = 0, "", _xlfn.XLOOKUP(C280,customers!$A$1:$A$1001,customers!$C$1:$C$1001,,0))</f>
        <v>epalfrey7q@devhub.com</v>
      </c>
      <c r="H280" s="2" t="str">
        <f>_xlfn.XLOOKUP(C280,customers!$A$1:$A$1001,customers!$G$1:$G$1001,,0)</f>
        <v>United States</v>
      </c>
      <c r="I280" t="str">
        <f>INDEX(products!$A$1:$G$49, MATCH(orders!$D280,products!$A$1:$A$49,0), MATCH(I$1,products!$A$1:$G$1,0))</f>
        <v>Ara</v>
      </c>
      <c r="J280" t="str">
        <f>INDEX(products!$A$1:$G$49, MATCH(orders!$D280,products!$A$1:$A$49,0), MATCH(J$1,products!$A$1:$G$1,0))</f>
        <v>L</v>
      </c>
      <c r="K280" s="4">
        <f>INDEX(products!$A$1:$G$49, MATCH(orders!$D280,products!$A$1:$A$49,0), MATCH(K$1,products!$A$1:$G$1,0))</f>
        <v>0.2</v>
      </c>
      <c r="L280" s="5">
        <f>INDEX(products!$A$1:$G$49, MATCH(orders!$D280,products!$A$1:$A$49,0), MATCH(L$1,products!$A$1:$G$1,0))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 = 0, "", _xlfn.XLOOKUP(C281,customers!$A$1:$A$1001,customers!$C$1:$C$1001,,0))</f>
        <v>pmetrick7r@rakuten.co.jp</v>
      </c>
      <c r="H281" s="2" t="str">
        <f>_xlfn.XLOOKUP(C281,customers!$A$1:$A$1001,customers!$G$1:$G$1001,,0)</f>
        <v>United States</v>
      </c>
      <c r="I281" t="str">
        <f>INDEX(products!$A$1:$G$49, MATCH(orders!$D281,products!$A$1:$A$49,0), MATCH(I$1,products!$A$1:$G$1,0))</f>
        <v>Lib</v>
      </c>
      <c r="J281" t="str">
        <f>INDEX(products!$A$1:$G$49, MATCH(orders!$D281,products!$A$1:$A$49,0), MATCH(J$1,products!$A$1:$G$1,0))</f>
        <v>M</v>
      </c>
      <c r="K281" s="4">
        <f>INDEX(products!$A$1:$G$49, MATCH(orders!$D281,products!$A$1:$A$49,0), MATCH(K$1,products!$A$1:$G$1,0))</f>
        <v>2.5</v>
      </c>
      <c r="L281" s="5">
        <f>INDEX(products!$A$1:$G$49, MATCH(orders!$D281,products!$A$1:$A$49,0), MATCH(L$1,products!$A$1:$G$1,0))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 = 0, "", _xlfn.XLOOKUP(C282,customers!$A$1:$A$1001,customers!$C$1:$C$1001,,0))</f>
        <v/>
      </c>
      <c r="H282" s="2" t="str">
        <f>_xlfn.XLOOKUP(C282,customers!$A$1:$A$1001,customers!$G$1:$G$1001,,0)</f>
        <v>United States</v>
      </c>
      <c r="I282" t="str">
        <f>INDEX(products!$A$1:$G$49, MATCH(orders!$D282,products!$A$1:$A$49,0), MATCH(I$1,products!$A$1:$G$1,0))</f>
        <v>Exc</v>
      </c>
      <c r="J282" t="str">
        <f>INDEX(products!$A$1:$G$49, MATCH(orders!$D282,products!$A$1:$A$49,0), MATCH(J$1,products!$A$1:$G$1,0))</f>
        <v>M</v>
      </c>
      <c r="K282" s="4">
        <f>INDEX(products!$A$1:$G$49, MATCH(orders!$D282,products!$A$1:$A$49,0), MATCH(K$1,products!$A$1:$G$1,0))</f>
        <v>0.5</v>
      </c>
      <c r="L282" s="5">
        <f>INDEX(products!$A$1:$G$49, MATCH(orders!$D282,products!$A$1:$A$49,0), MATCH(L$1,products!$A$1:$G$1,0))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 = 0, "", _xlfn.XLOOKUP(C283,customers!$A$1:$A$1001,customers!$C$1:$C$1001,,0))</f>
        <v>kkarby7t@sbwire.com</v>
      </c>
      <c r="H283" s="2" t="str">
        <f>_xlfn.XLOOKUP(C283,customers!$A$1:$A$1001,customers!$G$1:$G$1001,,0)</f>
        <v>United States</v>
      </c>
      <c r="I283" t="str">
        <f>INDEX(products!$A$1:$G$49, MATCH(orders!$D283,products!$A$1:$A$49,0), MATCH(I$1,products!$A$1:$G$1,0))</f>
        <v>Exc</v>
      </c>
      <c r="J283" t="str">
        <f>INDEX(products!$A$1:$G$49, MATCH(orders!$D283,products!$A$1:$A$49,0), MATCH(J$1,products!$A$1:$G$1,0))</f>
        <v>L</v>
      </c>
      <c r="K283" s="4">
        <f>INDEX(products!$A$1:$G$49, MATCH(orders!$D283,products!$A$1:$A$49,0), MATCH(K$1,products!$A$1:$G$1,0))</f>
        <v>1</v>
      </c>
      <c r="L283" s="5">
        <f>INDEX(products!$A$1:$G$49, MATCH(orders!$D283,products!$A$1:$A$49,0), MATCH(L$1,products!$A$1:$G$1,0))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 = 0, "", _xlfn.XLOOKUP(C284,customers!$A$1:$A$1001,customers!$C$1:$C$1001,,0))</f>
        <v>fcrumpe7u@ftc.gov</v>
      </c>
      <c r="H284" s="2" t="str">
        <f>_xlfn.XLOOKUP(C284,customers!$A$1:$A$1001,customers!$G$1:$G$1001,,0)</f>
        <v>United Kingdom</v>
      </c>
      <c r="I284" t="str">
        <f>INDEX(products!$A$1:$G$49, MATCH(orders!$D284,products!$A$1:$A$49,0), MATCH(I$1,products!$A$1:$G$1,0))</f>
        <v>Ara</v>
      </c>
      <c r="J284" t="str">
        <f>INDEX(products!$A$1:$G$49, MATCH(orders!$D284,products!$A$1:$A$49,0), MATCH(J$1,products!$A$1:$G$1,0))</f>
        <v>L</v>
      </c>
      <c r="K284" s="4">
        <f>INDEX(products!$A$1:$G$49, MATCH(orders!$D284,products!$A$1:$A$49,0), MATCH(K$1,products!$A$1:$G$1,0))</f>
        <v>0.5</v>
      </c>
      <c r="L284" s="5">
        <f>INDEX(products!$A$1:$G$49, MATCH(orders!$D284,products!$A$1:$A$49,0), MATCH(L$1,products!$A$1:$G$1,0))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 = 0, "", _xlfn.XLOOKUP(C285,customers!$A$1:$A$1001,customers!$C$1:$C$1001,,0))</f>
        <v>achatto7v@sakura.ne.jp</v>
      </c>
      <c r="H285" s="2" t="str">
        <f>_xlfn.XLOOKUP(C285,customers!$A$1:$A$1001,customers!$G$1:$G$1001,,0)</f>
        <v>United Kingdom</v>
      </c>
      <c r="I285" t="str">
        <f>INDEX(products!$A$1:$G$49, MATCH(orders!$D285,products!$A$1:$A$49,0), MATCH(I$1,products!$A$1:$G$1,0))</f>
        <v>Rob</v>
      </c>
      <c r="J285" t="str">
        <f>INDEX(products!$A$1:$G$49, MATCH(orders!$D285,products!$A$1:$A$49,0), MATCH(J$1,products!$A$1:$G$1,0))</f>
        <v>D</v>
      </c>
      <c r="K285" s="4">
        <f>INDEX(products!$A$1:$G$49, MATCH(orders!$D285,products!$A$1:$A$49,0), MATCH(K$1,products!$A$1:$G$1,0))</f>
        <v>0.5</v>
      </c>
      <c r="L285" s="5">
        <f>INDEX(products!$A$1:$G$49, MATCH(orders!$D285,products!$A$1:$A$49,0), MATCH(L$1,products!$A$1:$G$1,0))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 = 0, "", _xlfn.XLOOKUP(C286,customers!$A$1:$A$1001,customers!$C$1:$C$1001,,0))</f>
        <v/>
      </c>
      <c r="H286" s="2" t="str">
        <f>_xlfn.XLOOKUP(C286,customers!$A$1:$A$1001,customers!$G$1:$G$1001,,0)</f>
        <v>United States</v>
      </c>
      <c r="I286" t="str">
        <f>INDEX(products!$A$1:$G$49, MATCH(orders!$D286,products!$A$1:$A$49,0), MATCH(I$1,products!$A$1:$G$1,0))</f>
        <v>Exc</v>
      </c>
      <c r="J286" t="str">
        <f>INDEX(products!$A$1:$G$49, MATCH(orders!$D286,products!$A$1:$A$49,0), MATCH(J$1,products!$A$1:$G$1,0))</f>
        <v>M</v>
      </c>
      <c r="K286" s="4">
        <f>INDEX(products!$A$1:$G$49, MATCH(orders!$D286,products!$A$1:$A$49,0), MATCH(K$1,products!$A$1:$G$1,0))</f>
        <v>2.5</v>
      </c>
      <c r="L286" s="5">
        <f>INDEX(products!$A$1:$G$49, MATCH(orders!$D286,products!$A$1:$A$49,0), MATCH(L$1,products!$A$1:$G$1,0))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 = 0, "", _xlfn.XLOOKUP(C287,customers!$A$1:$A$1001,customers!$C$1:$C$1001,,0))</f>
        <v/>
      </c>
      <c r="H287" s="2" t="str">
        <f>_xlfn.XLOOKUP(C287,customers!$A$1:$A$1001,customers!$G$1:$G$1001,,0)</f>
        <v>United States</v>
      </c>
      <c r="I287" t="str">
        <f>INDEX(products!$A$1:$G$49, MATCH(orders!$D287,products!$A$1:$A$49,0), MATCH(I$1,products!$A$1:$G$1,0))</f>
        <v>Lib</v>
      </c>
      <c r="J287" t="str">
        <f>INDEX(products!$A$1:$G$49, MATCH(orders!$D287,products!$A$1:$A$49,0), MATCH(J$1,products!$A$1:$G$1,0))</f>
        <v>L</v>
      </c>
      <c r="K287" s="4">
        <f>INDEX(products!$A$1:$G$49, MATCH(orders!$D287,products!$A$1:$A$49,0), MATCH(K$1,products!$A$1:$G$1,0))</f>
        <v>2.5</v>
      </c>
      <c r="L287" s="5">
        <f>INDEX(products!$A$1:$G$49, MATCH(orders!$D287,products!$A$1:$A$49,0), MATCH(L$1,products!$A$1:$G$1,0))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 = 0, "", _xlfn.XLOOKUP(C288,customers!$A$1:$A$1001,customers!$C$1:$C$1001,,0))</f>
        <v>bmergue7y@umn.edu</v>
      </c>
      <c r="H288" s="2" t="str">
        <f>_xlfn.XLOOKUP(C288,customers!$A$1:$A$1001,customers!$G$1:$G$1001,,0)</f>
        <v>United States</v>
      </c>
      <c r="I288" t="str">
        <f>INDEX(products!$A$1:$G$49, MATCH(orders!$D288,products!$A$1:$A$49,0), MATCH(I$1,products!$A$1:$G$1,0))</f>
        <v>Ara</v>
      </c>
      <c r="J288" t="str">
        <f>INDEX(products!$A$1:$G$49, MATCH(orders!$D288,products!$A$1:$A$49,0), MATCH(J$1,products!$A$1:$G$1,0))</f>
        <v>M</v>
      </c>
      <c r="K288" s="4">
        <f>INDEX(products!$A$1:$G$49, MATCH(orders!$D288,products!$A$1:$A$49,0), MATCH(K$1,products!$A$1:$G$1,0))</f>
        <v>0.2</v>
      </c>
      <c r="L288" s="5">
        <f>INDEX(products!$A$1:$G$49, MATCH(orders!$D288,products!$A$1:$A$49,0), MATCH(L$1,products!$A$1:$G$1,0))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 = 0, "", _xlfn.XLOOKUP(C289,customers!$A$1:$A$1001,customers!$C$1:$C$1001,,0))</f>
        <v>kpatise7z@jigsy.com</v>
      </c>
      <c r="H289" s="2" t="str">
        <f>_xlfn.XLOOKUP(C289,customers!$A$1:$A$1001,customers!$G$1:$G$1001,,0)</f>
        <v>United States</v>
      </c>
      <c r="I289" t="str">
        <f>INDEX(products!$A$1:$G$49, MATCH(orders!$D289,products!$A$1:$A$49,0), MATCH(I$1,products!$A$1:$G$1,0))</f>
        <v>Rob</v>
      </c>
      <c r="J289" t="str">
        <f>INDEX(products!$A$1:$G$49, MATCH(orders!$D289,products!$A$1:$A$49,0), MATCH(J$1,products!$A$1:$G$1,0))</f>
        <v>L</v>
      </c>
      <c r="K289" s="4">
        <f>INDEX(products!$A$1:$G$49, MATCH(orders!$D289,products!$A$1:$A$49,0), MATCH(K$1,products!$A$1:$G$1,0))</f>
        <v>0.2</v>
      </c>
      <c r="L289" s="5">
        <f>INDEX(products!$A$1:$G$49, MATCH(orders!$D289,products!$A$1:$A$49,0), MATCH(L$1,products!$A$1:$G$1,0))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 = 0, "", _xlfn.XLOOKUP(C290,customers!$A$1:$A$1001,customers!$C$1:$C$1001,,0))</f>
        <v/>
      </c>
      <c r="H290" s="2" t="str">
        <f>_xlfn.XLOOKUP(C290,customers!$A$1:$A$1001,customers!$G$1:$G$1001,,0)</f>
        <v>Ireland</v>
      </c>
      <c r="I290" t="str">
        <f>INDEX(products!$A$1:$G$49, MATCH(orders!$D290,products!$A$1:$A$49,0), MATCH(I$1,products!$A$1:$G$1,0))</f>
        <v>Exc</v>
      </c>
      <c r="J290" t="str">
        <f>INDEX(products!$A$1:$G$49, MATCH(orders!$D290,products!$A$1:$A$49,0), MATCH(J$1,products!$A$1:$G$1,0))</f>
        <v>M</v>
      </c>
      <c r="K290" s="4">
        <f>INDEX(products!$A$1:$G$49, MATCH(orders!$D290,products!$A$1:$A$49,0), MATCH(K$1,products!$A$1:$G$1,0))</f>
        <v>0.5</v>
      </c>
      <c r="L290" s="5">
        <f>INDEX(products!$A$1:$G$49, MATCH(orders!$D290,products!$A$1:$A$49,0), MATCH(L$1,products!$A$1:$G$1,0))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 = 0, "", _xlfn.XLOOKUP(C291,customers!$A$1:$A$1001,customers!$C$1:$C$1001,,0))</f>
        <v/>
      </c>
      <c r="H291" s="2" t="str">
        <f>_xlfn.XLOOKUP(C291,customers!$A$1:$A$1001,customers!$G$1:$G$1001,,0)</f>
        <v>United States</v>
      </c>
      <c r="I291" t="str">
        <f>INDEX(products!$A$1:$G$49, MATCH(orders!$D291,products!$A$1:$A$49,0), MATCH(I$1,products!$A$1:$G$1,0))</f>
        <v>Rob</v>
      </c>
      <c r="J291" t="str">
        <f>INDEX(products!$A$1:$G$49, MATCH(orders!$D291,products!$A$1:$A$49,0), MATCH(J$1,products!$A$1:$G$1,0))</f>
        <v>D</v>
      </c>
      <c r="K291" s="4">
        <f>INDEX(products!$A$1:$G$49, MATCH(orders!$D291,products!$A$1:$A$49,0), MATCH(K$1,products!$A$1:$G$1,0))</f>
        <v>0.2</v>
      </c>
      <c r="L291" s="5">
        <f>INDEX(products!$A$1:$G$49, MATCH(orders!$D291,products!$A$1:$A$49,0), MATCH(L$1,products!$A$1:$G$1,0))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 = 0, "", _xlfn.XLOOKUP(C292,customers!$A$1:$A$1001,customers!$C$1:$C$1001,,0))</f>
        <v>dduke82@vkontakte.ru</v>
      </c>
      <c r="H292" s="2" t="str">
        <f>_xlfn.XLOOKUP(C292,customers!$A$1:$A$1001,customers!$G$1:$G$1001,,0)</f>
        <v>United States</v>
      </c>
      <c r="I292" t="str">
        <f>INDEX(products!$A$1:$G$49, MATCH(orders!$D292,products!$A$1:$A$49,0), MATCH(I$1,products!$A$1:$G$1,0))</f>
        <v>Ara</v>
      </c>
      <c r="J292" t="str">
        <f>INDEX(products!$A$1:$G$49, MATCH(orders!$D292,products!$A$1:$A$49,0), MATCH(J$1,products!$A$1:$G$1,0))</f>
        <v>D</v>
      </c>
      <c r="K292" s="4">
        <f>INDEX(products!$A$1:$G$49, MATCH(orders!$D292,products!$A$1:$A$49,0), MATCH(K$1,products!$A$1:$G$1,0))</f>
        <v>1</v>
      </c>
      <c r="L292" s="5">
        <f>INDEX(products!$A$1:$G$49, MATCH(orders!$D292,products!$A$1:$A$49,0), MATCH(L$1,products!$A$1:$G$1,0))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 = 0, "", _xlfn.XLOOKUP(C293,customers!$A$1:$A$1001,customers!$C$1:$C$1001,,0))</f>
        <v/>
      </c>
      <c r="H293" s="2" t="str">
        <f>_xlfn.XLOOKUP(C293,customers!$A$1:$A$1001,customers!$G$1:$G$1001,,0)</f>
        <v>Ireland</v>
      </c>
      <c r="I293" t="str">
        <f>INDEX(products!$A$1:$G$49, MATCH(orders!$D293,products!$A$1:$A$49,0), MATCH(I$1,products!$A$1:$G$1,0))</f>
        <v>Exc</v>
      </c>
      <c r="J293" t="str">
        <f>INDEX(products!$A$1:$G$49, MATCH(orders!$D293,products!$A$1:$A$49,0), MATCH(J$1,products!$A$1:$G$1,0))</f>
        <v>M</v>
      </c>
      <c r="K293" s="4">
        <f>INDEX(products!$A$1:$G$49, MATCH(orders!$D293,products!$A$1:$A$49,0), MATCH(K$1,products!$A$1:$G$1,0))</f>
        <v>0.5</v>
      </c>
      <c r="L293" s="5">
        <f>INDEX(products!$A$1:$G$49, MATCH(orders!$D293,products!$A$1:$A$49,0), MATCH(L$1,products!$A$1:$G$1,0))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 = 0, "", _xlfn.XLOOKUP(C294,customers!$A$1:$A$1001,customers!$C$1:$C$1001,,0))</f>
        <v>ihussey84@mapy.cz</v>
      </c>
      <c r="H294" s="2" t="str">
        <f>_xlfn.XLOOKUP(C294,customers!$A$1:$A$1001,customers!$G$1:$G$1001,,0)</f>
        <v>United States</v>
      </c>
      <c r="I294" t="str">
        <f>INDEX(products!$A$1:$G$49, MATCH(orders!$D294,products!$A$1:$A$49,0), MATCH(I$1,products!$A$1:$G$1,0))</f>
        <v>Ara</v>
      </c>
      <c r="J294" t="str">
        <f>INDEX(products!$A$1:$G$49, MATCH(orders!$D294,products!$A$1:$A$49,0), MATCH(J$1,products!$A$1:$G$1,0))</f>
        <v>D</v>
      </c>
      <c r="K294" s="4">
        <f>INDEX(products!$A$1:$G$49, MATCH(orders!$D294,products!$A$1:$A$49,0), MATCH(K$1,products!$A$1:$G$1,0))</f>
        <v>0.5</v>
      </c>
      <c r="L294" s="5">
        <f>INDEX(products!$A$1:$G$49, MATCH(orders!$D294,products!$A$1:$A$49,0), MATCH(L$1,products!$A$1:$G$1,0))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 = 0, "", _xlfn.XLOOKUP(C295,customers!$A$1:$A$1001,customers!$C$1:$C$1001,,0))</f>
        <v>cpinkerton85@upenn.edu</v>
      </c>
      <c r="H295" s="2" t="str">
        <f>_xlfn.XLOOKUP(C295,customers!$A$1:$A$1001,customers!$G$1:$G$1001,,0)</f>
        <v>United States</v>
      </c>
      <c r="I295" t="str">
        <f>INDEX(products!$A$1:$G$49, MATCH(orders!$D295,products!$A$1:$A$49,0), MATCH(I$1,products!$A$1:$G$1,0))</f>
        <v>Ara</v>
      </c>
      <c r="J295" t="str">
        <f>INDEX(products!$A$1:$G$49, MATCH(orders!$D295,products!$A$1:$A$49,0), MATCH(J$1,products!$A$1:$G$1,0))</f>
        <v>D</v>
      </c>
      <c r="K295" s="4">
        <f>INDEX(products!$A$1:$G$49, MATCH(orders!$D295,products!$A$1:$A$49,0), MATCH(K$1,products!$A$1:$G$1,0))</f>
        <v>0.5</v>
      </c>
      <c r="L295" s="5">
        <f>INDEX(products!$A$1:$G$49, MATCH(orders!$D295,products!$A$1:$A$49,0), MATCH(L$1,products!$A$1:$G$1,0))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 = 0, "", _xlfn.XLOOKUP(C296,customers!$A$1:$A$1001,customers!$C$1:$C$1001,,0))</f>
        <v/>
      </c>
      <c r="H296" s="2" t="str">
        <f>_xlfn.XLOOKUP(C296,customers!$A$1:$A$1001,customers!$G$1:$G$1001,,0)</f>
        <v>United States</v>
      </c>
      <c r="I296" t="str">
        <f>INDEX(products!$A$1:$G$49, MATCH(orders!$D296,products!$A$1:$A$49,0), MATCH(I$1,products!$A$1:$G$1,0))</f>
        <v>Exc</v>
      </c>
      <c r="J296" t="str">
        <f>INDEX(products!$A$1:$G$49, MATCH(orders!$D296,products!$A$1:$A$49,0), MATCH(J$1,products!$A$1:$G$1,0))</f>
        <v>L</v>
      </c>
      <c r="K296" s="4">
        <f>INDEX(products!$A$1:$G$49, MATCH(orders!$D296,products!$A$1:$A$49,0), MATCH(K$1,products!$A$1:$G$1,0))</f>
        <v>1</v>
      </c>
      <c r="L296" s="5">
        <f>INDEX(products!$A$1:$G$49, MATCH(orders!$D296,products!$A$1:$A$49,0), MATCH(L$1,products!$A$1:$G$1,0))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 = 0, "", _xlfn.XLOOKUP(C297,customers!$A$1:$A$1001,customers!$C$1:$C$1001,,0))</f>
        <v/>
      </c>
      <c r="H297" s="2" t="str">
        <f>_xlfn.XLOOKUP(C297,customers!$A$1:$A$1001,customers!$G$1:$G$1001,,0)</f>
        <v>United States</v>
      </c>
      <c r="I297" t="str">
        <f>INDEX(products!$A$1:$G$49, MATCH(orders!$D297,products!$A$1:$A$49,0), MATCH(I$1,products!$A$1:$G$1,0))</f>
        <v>Exc</v>
      </c>
      <c r="J297" t="str">
        <f>INDEX(products!$A$1:$G$49, MATCH(orders!$D297,products!$A$1:$A$49,0), MATCH(J$1,products!$A$1:$G$1,0))</f>
        <v>M</v>
      </c>
      <c r="K297" s="4">
        <f>INDEX(products!$A$1:$G$49, MATCH(orders!$D297,products!$A$1:$A$49,0), MATCH(K$1,products!$A$1:$G$1,0))</f>
        <v>1</v>
      </c>
      <c r="L297" s="5">
        <f>INDEX(products!$A$1:$G$49, MATCH(orders!$D297,products!$A$1:$A$49,0), MATCH(L$1,products!$A$1:$G$1,0))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 = 0, "", _xlfn.XLOOKUP(C298,customers!$A$1:$A$1001,customers!$C$1:$C$1001,,0))</f>
        <v>dvizor88@furl.net</v>
      </c>
      <c r="H298" s="2" t="str">
        <f>_xlfn.XLOOKUP(C298,customers!$A$1:$A$1001,customers!$G$1:$G$1001,,0)</f>
        <v>United States</v>
      </c>
      <c r="I298" t="str">
        <f>INDEX(products!$A$1:$G$49, MATCH(orders!$D298,products!$A$1:$A$49,0), MATCH(I$1,products!$A$1:$G$1,0))</f>
        <v>Rob</v>
      </c>
      <c r="J298" t="str">
        <f>INDEX(products!$A$1:$G$49, MATCH(orders!$D298,products!$A$1:$A$49,0), MATCH(J$1,products!$A$1:$G$1,0))</f>
        <v>M</v>
      </c>
      <c r="K298" s="4">
        <f>INDEX(products!$A$1:$G$49, MATCH(orders!$D298,products!$A$1:$A$49,0), MATCH(K$1,products!$A$1:$G$1,0))</f>
        <v>0.5</v>
      </c>
      <c r="L298" s="5">
        <f>INDEX(products!$A$1:$G$49, MATCH(orders!$D298,products!$A$1:$A$49,0), MATCH(L$1,products!$A$1:$G$1,0))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 = 0, "", _xlfn.XLOOKUP(C299,customers!$A$1:$A$1001,customers!$C$1:$C$1001,,0))</f>
        <v>esedgebeer89@oaic.gov.au</v>
      </c>
      <c r="H299" s="2" t="str">
        <f>_xlfn.XLOOKUP(C299,customers!$A$1:$A$1001,customers!$G$1:$G$1001,,0)</f>
        <v>United States</v>
      </c>
      <c r="I299" t="str">
        <f>INDEX(products!$A$1:$G$49, MATCH(orders!$D299,products!$A$1:$A$49,0), MATCH(I$1,products!$A$1:$G$1,0))</f>
        <v>Rob</v>
      </c>
      <c r="J299" t="str">
        <f>INDEX(products!$A$1:$G$49, MATCH(orders!$D299,products!$A$1:$A$49,0), MATCH(J$1,products!$A$1:$G$1,0))</f>
        <v>D</v>
      </c>
      <c r="K299" s="4">
        <f>INDEX(products!$A$1:$G$49, MATCH(orders!$D299,products!$A$1:$A$49,0), MATCH(K$1,products!$A$1:$G$1,0))</f>
        <v>0.5</v>
      </c>
      <c r="L299" s="5">
        <f>INDEX(products!$A$1:$G$49, MATCH(orders!$D299,products!$A$1:$A$49,0), MATCH(L$1,products!$A$1:$G$1,0))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 = 0, "", _xlfn.XLOOKUP(C300,customers!$A$1:$A$1001,customers!$C$1:$C$1001,,0))</f>
        <v>klestrange8a@lulu.com</v>
      </c>
      <c r="H300" s="2" t="str">
        <f>_xlfn.XLOOKUP(C300,customers!$A$1:$A$1001,customers!$G$1:$G$1001,,0)</f>
        <v>United States</v>
      </c>
      <c r="I300" t="str">
        <f>INDEX(products!$A$1:$G$49, MATCH(orders!$D300,products!$A$1:$A$49,0), MATCH(I$1,products!$A$1:$G$1,0))</f>
        <v>Exc</v>
      </c>
      <c r="J300" t="str">
        <f>INDEX(products!$A$1:$G$49, MATCH(orders!$D300,products!$A$1:$A$49,0), MATCH(J$1,products!$A$1:$G$1,0))</f>
        <v>L</v>
      </c>
      <c r="K300" s="4">
        <f>INDEX(products!$A$1:$G$49, MATCH(orders!$D300,products!$A$1:$A$49,0), MATCH(K$1,products!$A$1:$G$1,0))</f>
        <v>0.2</v>
      </c>
      <c r="L300" s="5">
        <f>INDEX(products!$A$1:$G$49, MATCH(orders!$D300,products!$A$1:$A$49,0), MATCH(L$1,products!$A$1:$G$1,0))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 = 0, "", _xlfn.XLOOKUP(C301,customers!$A$1:$A$1001,customers!$C$1:$C$1001,,0))</f>
        <v>ltanti8b@techcrunch.com</v>
      </c>
      <c r="H301" s="2" t="str">
        <f>_xlfn.XLOOKUP(C301,customers!$A$1:$A$1001,customers!$G$1:$G$1001,,0)</f>
        <v>United States</v>
      </c>
      <c r="I301" t="str">
        <f>INDEX(products!$A$1:$G$49, MATCH(orders!$D301,products!$A$1:$A$49,0), MATCH(I$1,products!$A$1:$G$1,0))</f>
        <v>Exc</v>
      </c>
      <c r="J301" t="str">
        <f>INDEX(products!$A$1:$G$49, MATCH(orders!$D301,products!$A$1:$A$49,0), MATCH(J$1,products!$A$1:$G$1,0))</f>
        <v>L</v>
      </c>
      <c r="K301" s="4">
        <f>INDEX(products!$A$1:$G$49, MATCH(orders!$D301,products!$A$1:$A$49,0), MATCH(K$1,products!$A$1:$G$1,0))</f>
        <v>2.5</v>
      </c>
      <c r="L301" s="5">
        <f>INDEX(products!$A$1:$G$49, MATCH(orders!$D301,products!$A$1:$A$49,0), MATCH(L$1,products!$A$1:$G$1,0))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 = 0, "", _xlfn.XLOOKUP(C302,customers!$A$1:$A$1001,customers!$C$1:$C$1001,,0))</f>
        <v>ade8c@1und1.de</v>
      </c>
      <c r="H302" s="2" t="str">
        <f>_xlfn.XLOOKUP(C302,customers!$A$1:$A$1001,customers!$G$1:$G$1001,,0)</f>
        <v>United States</v>
      </c>
      <c r="I302" t="str">
        <f>INDEX(products!$A$1:$G$49, MATCH(orders!$D302,products!$A$1:$A$49,0), MATCH(I$1,products!$A$1:$G$1,0))</f>
        <v>Ara</v>
      </c>
      <c r="J302" t="str">
        <f>INDEX(products!$A$1:$G$49, MATCH(orders!$D302,products!$A$1:$A$49,0), MATCH(J$1,products!$A$1:$G$1,0))</f>
        <v>L</v>
      </c>
      <c r="K302" s="4">
        <f>INDEX(products!$A$1:$G$49, MATCH(orders!$D302,products!$A$1:$A$49,0), MATCH(K$1,products!$A$1:$G$1,0))</f>
        <v>1</v>
      </c>
      <c r="L302" s="5">
        <f>INDEX(products!$A$1:$G$49, MATCH(orders!$D302,products!$A$1:$A$49,0), MATCH(L$1,products!$A$1:$G$1,0))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 = 0, "", _xlfn.XLOOKUP(C303,customers!$A$1:$A$1001,customers!$C$1:$C$1001,,0))</f>
        <v>tjedrachowicz8d@acquirethisname.com</v>
      </c>
      <c r="H303" s="2" t="str">
        <f>_xlfn.XLOOKUP(C303,customers!$A$1:$A$1001,customers!$G$1:$G$1001,,0)</f>
        <v>United States</v>
      </c>
      <c r="I303" t="str">
        <f>INDEX(products!$A$1:$G$49, MATCH(orders!$D303,products!$A$1:$A$49,0), MATCH(I$1,products!$A$1:$G$1,0))</f>
        <v>Lib</v>
      </c>
      <c r="J303" t="str">
        <f>INDEX(products!$A$1:$G$49, MATCH(orders!$D303,products!$A$1:$A$49,0), MATCH(J$1,products!$A$1:$G$1,0))</f>
        <v>D</v>
      </c>
      <c r="K303" s="4">
        <f>INDEX(products!$A$1:$G$49, MATCH(orders!$D303,products!$A$1:$A$49,0), MATCH(K$1,products!$A$1:$G$1,0))</f>
        <v>0.2</v>
      </c>
      <c r="L303" s="5">
        <f>INDEX(products!$A$1:$G$49, MATCH(orders!$D303,products!$A$1:$A$49,0), MATCH(L$1,products!$A$1:$G$1,0))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 = 0, "", _xlfn.XLOOKUP(C304,customers!$A$1:$A$1001,customers!$C$1:$C$1001,,0))</f>
        <v>pstonner8e@moonfruit.com</v>
      </c>
      <c r="H304" s="2" t="str">
        <f>_xlfn.XLOOKUP(C304,customers!$A$1:$A$1001,customers!$G$1:$G$1001,,0)</f>
        <v>United States</v>
      </c>
      <c r="I304" t="str">
        <f>INDEX(products!$A$1:$G$49, MATCH(orders!$D304,products!$A$1:$A$49,0), MATCH(I$1,products!$A$1:$G$1,0))</f>
        <v>Ara</v>
      </c>
      <c r="J304" t="str">
        <f>INDEX(products!$A$1:$G$49, MATCH(orders!$D304,products!$A$1:$A$49,0), MATCH(J$1,products!$A$1:$G$1,0))</f>
        <v>M</v>
      </c>
      <c r="K304" s="4">
        <f>INDEX(products!$A$1:$G$49, MATCH(orders!$D304,products!$A$1:$A$49,0), MATCH(K$1,products!$A$1:$G$1,0))</f>
        <v>0.5</v>
      </c>
      <c r="L304" s="5">
        <f>INDEX(products!$A$1:$G$49, MATCH(orders!$D304,products!$A$1:$A$49,0), MATCH(L$1,products!$A$1:$G$1,0))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 = 0, "", _xlfn.XLOOKUP(C305,customers!$A$1:$A$1001,customers!$C$1:$C$1001,,0))</f>
        <v>dtingly8f@goo.ne.jp</v>
      </c>
      <c r="H305" s="2" t="str">
        <f>_xlfn.XLOOKUP(C305,customers!$A$1:$A$1001,customers!$G$1:$G$1001,,0)</f>
        <v>United States</v>
      </c>
      <c r="I305" t="str">
        <f>INDEX(products!$A$1:$G$49, MATCH(orders!$D305,products!$A$1:$A$49,0), MATCH(I$1,products!$A$1:$G$1,0))</f>
        <v>Exc</v>
      </c>
      <c r="J305" t="str">
        <f>INDEX(products!$A$1:$G$49, MATCH(orders!$D305,products!$A$1:$A$49,0), MATCH(J$1,products!$A$1:$G$1,0))</f>
        <v>D</v>
      </c>
      <c r="K305" s="4">
        <f>INDEX(products!$A$1:$G$49, MATCH(orders!$D305,products!$A$1:$A$49,0), MATCH(K$1,products!$A$1:$G$1,0))</f>
        <v>2.5</v>
      </c>
      <c r="L305" s="5">
        <f>INDEX(products!$A$1:$G$49, MATCH(orders!$D305,products!$A$1:$A$49,0), MATCH(L$1,products!$A$1:$G$1,0))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 = 0, "", _xlfn.XLOOKUP(C306,customers!$A$1:$A$1001,customers!$C$1:$C$1001,,0))</f>
        <v>crushe8n@about.me</v>
      </c>
      <c r="H306" s="2" t="str">
        <f>_xlfn.XLOOKUP(C306,customers!$A$1:$A$1001,customers!$G$1:$G$1001,,0)</f>
        <v>United States</v>
      </c>
      <c r="I306" t="str">
        <f>INDEX(products!$A$1:$G$49, MATCH(orders!$D306,products!$A$1:$A$49,0), MATCH(I$1,products!$A$1:$G$1,0))</f>
        <v>Ara</v>
      </c>
      <c r="J306" t="str">
        <f>INDEX(products!$A$1:$G$49, MATCH(orders!$D306,products!$A$1:$A$49,0), MATCH(J$1,products!$A$1:$G$1,0))</f>
        <v>L</v>
      </c>
      <c r="K306" s="4">
        <f>INDEX(products!$A$1:$G$49, MATCH(orders!$D306,products!$A$1:$A$49,0), MATCH(K$1,products!$A$1:$G$1,0))</f>
        <v>0.2</v>
      </c>
      <c r="L306" s="5">
        <f>INDEX(products!$A$1:$G$49, MATCH(orders!$D306,products!$A$1:$A$49,0), MATCH(L$1,products!$A$1:$G$1,0))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 = 0, "", _xlfn.XLOOKUP(C307,customers!$A$1:$A$1001,customers!$C$1:$C$1001,,0))</f>
        <v>bchecci8h@usa.gov</v>
      </c>
      <c r="H307" s="2" t="str">
        <f>_xlfn.XLOOKUP(C307,customers!$A$1:$A$1001,customers!$G$1:$G$1001,,0)</f>
        <v>United Kingdom</v>
      </c>
      <c r="I307" t="str">
        <f>INDEX(products!$A$1:$G$49, MATCH(orders!$D307,products!$A$1:$A$49,0), MATCH(I$1,products!$A$1:$G$1,0))</f>
        <v>Lib</v>
      </c>
      <c r="J307" t="str">
        <f>INDEX(products!$A$1:$G$49, MATCH(orders!$D307,products!$A$1:$A$49,0), MATCH(J$1,products!$A$1:$G$1,0))</f>
        <v>M</v>
      </c>
      <c r="K307" s="4">
        <f>INDEX(products!$A$1:$G$49, MATCH(orders!$D307,products!$A$1:$A$49,0), MATCH(K$1,products!$A$1:$G$1,0))</f>
        <v>0.2</v>
      </c>
      <c r="L307" s="5">
        <f>INDEX(products!$A$1:$G$49, MATCH(orders!$D307,products!$A$1:$A$49,0), MATCH(L$1,products!$A$1:$G$1,0))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 = 0, "", _xlfn.XLOOKUP(C308,customers!$A$1:$A$1001,customers!$C$1:$C$1001,,0))</f>
        <v>jbagot8i@mac.com</v>
      </c>
      <c r="H308" s="2" t="str">
        <f>_xlfn.XLOOKUP(C308,customers!$A$1:$A$1001,customers!$G$1:$G$1001,,0)</f>
        <v>United States</v>
      </c>
      <c r="I308" t="str">
        <f>INDEX(products!$A$1:$G$49, MATCH(orders!$D308,products!$A$1:$A$49,0), MATCH(I$1,products!$A$1:$G$1,0))</f>
        <v>Rob</v>
      </c>
      <c r="J308" t="str">
        <f>INDEX(products!$A$1:$G$49, MATCH(orders!$D308,products!$A$1:$A$49,0), MATCH(J$1,products!$A$1:$G$1,0))</f>
        <v>M</v>
      </c>
      <c r="K308" s="4">
        <f>INDEX(products!$A$1:$G$49, MATCH(orders!$D308,products!$A$1:$A$49,0), MATCH(K$1,products!$A$1:$G$1,0))</f>
        <v>0.2</v>
      </c>
      <c r="L308" s="5">
        <f>INDEX(products!$A$1:$G$49, MATCH(orders!$D308,products!$A$1:$A$49,0), MATCH(L$1,products!$A$1:$G$1,0))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 = 0, "", _xlfn.XLOOKUP(C309,customers!$A$1:$A$1001,customers!$C$1:$C$1001,,0))</f>
        <v>ebeeble8j@soundcloud.com</v>
      </c>
      <c r="H309" s="2" t="str">
        <f>_xlfn.XLOOKUP(C309,customers!$A$1:$A$1001,customers!$G$1:$G$1001,,0)</f>
        <v>United States</v>
      </c>
      <c r="I309" t="str">
        <f>INDEX(products!$A$1:$G$49, MATCH(orders!$D309,products!$A$1:$A$49,0), MATCH(I$1,products!$A$1:$G$1,0))</f>
        <v>Ara</v>
      </c>
      <c r="J309" t="str">
        <f>INDEX(products!$A$1:$G$49, MATCH(orders!$D309,products!$A$1:$A$49,0), MATCH(J$1,products!$A$1:$G$1,0))</f>
        <v>M</v>
      </c>
      <c r="K309" s="4">
        <f>INDEX(products!$A$1:$G$49, MATCH(orders!$D309,products!$A$1:$A$49,0), MATCH(K$1,products!$A$1:$G$1,0))</f>
        <v>1</v>
      </c>
      <c r="L309" s="5">
        <f>INDEX(products!$A$1:$G$49, MATCH(orders!$D309,products!$A$1:$A$49,0), MATCH(L$1,products!$A$1:$G$1,0))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 = 0, "", _xlfn.XLOOKUP(C310,customers!$A$1:$A$1001,customers!$C$1:$C$1001,,0))</f>
        <v>cfluin8k@flickr.com</v>
      </c>
      <c r="H310" s="2" t="str">
        <f>_xlfn.XLOOKUP(C310,customers!$A$1:$A$1001,customers!$G$1:$G$1001,,0)</f>
        <v>United Kingdom</v>
      </c>
      <c r="I310" t="str">
        <f>INDEX(products!$A$1:$G$49, MATCH(orders!$D310,products!$A$1:$A$49,0), MATCH(I$1,products!$A$1:$G$1,0))</f>
        <v>Ara</v>
      </c>
      <c r="J310" t="str">
        <f>INDEX(products!$A$1:$G$49, MATCH(orders!$D310,products!$A$1:$A$49,0), MATCH(J$1,products!$A$1:$G$1,0))</f>
        <v>M</v>
      </c>
      <c r="K310" s="4">
        <f>INDEX(products!$A$1:$G$49, MATCH(orders!$D310,products!$A$1:$A$49,0), MATCH(K$1,products!$A$1:$G$1,0))</f>
        <v>1</v>
      </c>
      <c r="L310" s="5">
        <f>INDEX(products!$A$1:$G$49, MATCH(orders!$D310,products!$A$1:$A$49,0), MATCH(L$1,products!$A$1:$G$1,0))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 = 0, "", _xlfn.XLOOKUP(C311,customers!$A$1:$A$1001,customers!$C$1:$C$1001,,0))</f>
        <v>ebletsor8l@vinaora.com</v>
      </c>
      <c r="H311" s="2" t="str">
        <f>_xlfn.XLOOKUP(C311,customers!$A$1:$A$1001,customers!$G$1:$G$1001,,0)</f>
        <v>United States</v>
      </c>
      <c r="I311" t="str">
        <f>INDEX(products!$A$1:$G$49, MATCH(orders!$D311,products!$A$1:$A$49,0), MATCH(I$1,products!$A$1:$G$1,0))</f>
        <v>Lib</v>
      </c>
      <c r="J311" t="str">
        <f>INDEX(products!$A$1:$G$49, MATCH(orders!$D311,products!$A$1:$A$49,0), MATCH(J$1,products!$A$1:$G$1,0))</f>
        <v>M</v>
      </c>
      <c r="K311" s="4">
        <f>INDEX(products!$A$1:$G$49, MATCH(orders!$D311,products!$A$1:$A$49,0), MATCH(K$1,products!$A$1:$G$1,0))</f>
        <v>0.2</v>
      </c>
      <c r="L311" s="5">
        <f>INDEX(products!$A$1:$G$49, MATCH(orders!$D311,products!$A$1:$A$49,0), MATCH(L$1,products!$A$1:$G$1,0))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 = 0, "", _xlfn.XLOOKUP(C312,customers!$A$1:$A$1001,customers!$C$1:$C$1001,,0))</f>
        <v>pbrydell8m@bloglovin.com</v>
      </c>
      <c r="H312" s="2" t="str">
        <f>_xlfn.XLOOKUP(C312,customers!$A$1:$A$1001,customers!$G$1:$G$1001,,0)</f>
        <v>Ireland</v>
      </c>
      <c r="I312" t="str">
        <f>INDEX(products!$A$1:$G$49, MATCH(orders!$D312,products!$A$1:$A$49,0), MATCH(I$1,products!$A$1:$G$1,0))</f>
        <v>Exc</v>
      </c>
      <c r="J312" t="str">
        <f>INDEX(products!$A$1:$G$49, MATCH(orders!$D312,products!$A$1:$A$49,0), MATCH(J$1,products!$A$1:$G$1,0))</f>
        <v>L</v>
      </c>
      <c r="K312" s="4">
        <f>INDEX(products!$A$1:$G$49, MATCH(orders!$D312,products!$A$1:$A$49,0), MATCH(K$1,products!$A$1:$G$1,0))</f>
        <v>1</v>
      </c>
      <c r="L312" s="5">
        <f>INDEX(products!$A$1:$G$49, MATCH(orders!$D312,products!$A$1:$A$49,0), MATCH(L$1,products!$A$1:$G$1,0))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 = 0, "", _xlfn.XLOOKUP(C313,customers!$A$1:$A$1001,customers!$C$1:$C$1001,,0))</f>
        <v>crushe8n@about.me</v>
      </c>
      <c r="H313" s="2" t="str">
        <f>_xlfn.XLOOKUP(C313,customers!$A$1:$A$1001,customers!$G$1:$G$1001,,0)</f>
        <v>United States</v>
      </c>
      <c r="I313" t="str">
        <f>INDEX(products!$A$1:$G$49, MATCH(orders!$D313,products!$A$1:$A$49,0), MATCH(I$1,products!$A$1:$G$1,0))</f>
        <v>Exc</v>
      </c>
      <c r="J313" t="str">
        <f>INDEX(products!$A$1:$G$49, MATCH(orders!$D313,products!$A$1:$A$49,0), MATCH(J$1,products!$A$1:$G$1,0))</f>
        <v>M</v>
      </c>
      <c r="K313" s="4">
        <f>INDEX(products!$A$1:$G$49, MATCH(orders!$D313,products!$A$1:$A$49,0), MATCH(K$1,products!$A$1:$G$1,0))</f>
        <v>2.5</v>
      </c>
      <c r="L313" s="5">
        <f>INDEX(products!$A$1:$G$49, MATCH(orders!$D313,products!$A$1:$A$49,0), MATCH(L$1,products!$A$1:$G$1,0))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 = 0, "", _xlfn.XLOOKUP(C314,customers!$A$1:$A$1001,customers!$C$1:$C$1001,,0))</f>
        <v>nleethem8o@mac.com</v>
      </c>
      <c r="H314" s="2" t="str">
        <f>_xlfn.XLOOKUP(C314,customers!$A$1:$A$1001,customers!$G$1:$G$1001,,0)</f>
        <v>United States</v>
      </c>
      <c r="I314" t="str">
        <f>INDEX(products!$A$1:$G$49, MATCH(orders!$D314,products!$A$1:$A$49,0), MATCH(I$1,products!$A$1:$G$1,0))</f>
        <v>Rob</v>
      </c>
      <c r="J314" t="str">
        <f>INDEX(products!$A$1:$G$49, MATCH(orders!$D314,products!$A$1:$A$49,0), MATCH(J$1,products!$A$1:$G$1,0))</f>
        <v>M</v>
      </c>
      <c r="K314" s="4">
        <f>INDEX(products!$A$1:$G$49, MATCH(orders!$D314,products!$A$1:$A$49,0), MATCH(K$1,products!$A$1:$G$1,0))</f>
        <v>0.5</v>
      </c>
      <c r="L314" s="5">
        <f>INDEX(products!$A$1:$G$49, MATCH(orders!$D314,products!$A$1:$A$49,0), MATCH(L$1,products!$A$1:$G$1,0))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 = 0, "", _xlfn.XLOOKUP(C315,customers!$A$1:$A$1001,customers!$C$1:$C$1001,,0))</f>
        <v>anesfield8p@people.com.cn</v>
      </c>
      <c r="H315" s="2" t="str">
        <f>_xlfn.XLOOKUP(C315,customers!$A$1:$A$1001,customers!$G$1:$G$1001,,0)</f>
        <v>United Kingdom</v>
      </c>
      <c r="I315" t="str">
        <f>INDEX(products!$A$1:$G$49, MATCH(orders!$D315,products!$A$1:$A$49,0), MATCH(I$1,products!$A$1:$G$1,0))</f>
        <v>Rob</v>
      </c>
      <c r="J315" t="str">
        <f>INDEX(products!$A$1:$G$49, MATCH(orders!$D315,products!$A$1:$A$49,0), MATCH(J$1,products!$A$1:$G$1,0))</f>
        <v>M</v>
      </c>
      <c r="K315" s="4">
        <f>INDEX(products!$A$1:$G$49, MATCH(orders!$D315,products!$A$1:$A$49,0), MATCH(K$1,products!$A$1:$G$1,0))</f>
        <v>1</v>
      </c>
      <c r="L315" s="5">
        <f>INDEX(products!$A$1:$G$49, MATCH(orders!$D315,products!$A$1:$A$49,0), MATCH(L$1,products!$A$1:$G$1,0))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 = 0, "", _xlfn.XLOOKUP(C316,customers!$A$1:$A$1001,customers!$C$1:$C$1001,,0))</f>
        <v/>
      </c>
      <c r="H316" s="2" t="str">
        <f>_xlfn.XLOOKUP(C316,customers!$A$1:$A$1001,customers!$G$1:$G$1001,,0)</f>
        <v>United States</v>
      </c>
      <c r="I316" t="str">
        <f>INDEX(products!$A$1:$G$49, MATCH(orders!$D316,products!$A$1:$A$49,0), MATCH(I$1,products!$A$1:$G$1,0))</f>
        <v>Rob</v>
      </c>
      <c r="J316" t="str">
        <f>INDEX(products!$A$1:$G$49, MATCH(orders!$D316,products!$A$1:$A$49,0), MATCH(J$1,products!$A$1:$G$1,0))</f>
        <v>D</v>
      </c>
      <c r="K316" s="4">
        <f>INDEX(products!$A$1:$G$49, MATCH(orders!$D316,products!$A$1:$A$49,0), MATCH(K$1,products!$A$1:$G$1,0))</f>
        <v>1</v>
      </c>
      <c r="L316" s="5">
        <f>INDEX(products!$A$1:$G$49, MATCH(orders!$D316,products!$A$1:$A$49,0), MATCH(L$1,products!$A$1:$G$1,0))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 = 0, "", _xlfn.XLOOKUP(C317,customers!$A$1:$A$1001,customers!$C$1:$C$1001,,0))</f>
        <v>mbrockway8r@ibm.com</v>
      </c>
      <c r="H317" s="2" t="str">
        <f>_xlfn.XLOOKUP(C317,customers!$A$1:$A$1001,customers!$G$1:$G$1001,,0)</f>
        <v>United States</v>
      </c>
      <c r="I317" t="str">
        <f>INDEX(products!$A$1:$G$49, MATCH(orders!$D317,products!$A$1:$A$49,0), MATCH(I$1,products!$A$1:$G$1,0))</f>
        <v>Exc</v>
      </c>
      <c r="J317" t="str">
        <f>INDEX(products!$A$1:$G$49, MATCH(orders!$D317,products!$A$1:$A$49,0), MATCH(J$1,products!$A$1:$G$1,0))</f>
        <v>L</v>
      </c>
      <c r="K317" s="4">
        <f>INDEX(products!$A$1:$G$49, MATCH(orders!$D317,products!$A$1:$A$49,0), MATCH(K$1,products!$A$1:$G$1,0))</f>
        <v>2.5</v>
      </c>
      <c r="L317" s="5">
        <f>INDEX(products!$A$1:$G$49, MATCH(orders!$D317,products!$A$1:$A$49,0), MATCH(L$1,products!$A$1:$G$1,0))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 = 0, "", _xlfn.XLOOKUP(C318,customers!$A$1:$A$1001,customers!$C$1:$C$1001,,0))</f>
        <v>nlush8s@dedecms.com</v>
      </c>
      <c r="H318" s="2" t="str">
        <f>_xlfn.XLOOKUP(C318,customers!$A$1:$A$1001,customers!$G$1:$G$1001,,0)</f>
        <v>Ireland</v>
      </c>
      <c r="I318" t="str">
        <f>INDEX(products!$A$1:$G$49, MATCH(orders!$D318,products!$A$1:$A$49,0), MATCH(I$1,products!$A$1:$G$1,0))</f>
        <v>Exc</v>
      </c>
      <c r="J318" t="str">
        <f>INDEX(products!$A$1:$G$49, MATCH(orders!$D318,products!$A$1:$A$49,0), MATCH(J$1,products!$A$1:$G$1,0))</f>
        <v>L</v>
      </c>
      <c r="K318" s="4">
        <f>INDEX(products!$A$1:$G$49, MATCH(orders!$D318,products!$A$1:$A$49,0), MATCH(K$1,products!$A$1:$G$1,0))</f>
        <v>2.5</v>
      </c>
      <c r="L318" s="5">
        <f>INDEX(products!$A$1:$G$49, MATCH(orders!$D318,products!$A$1:$A$49,0), MATCH(L$1,products!$A$1:$G$1,0))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 = 0, "", _xlfn.XLOOKUP(C319,customers!$A$1:$A$1001,customers!$C$1:$C$1001,,0))</f>
        <v>smcmillian8t@csmonitor.com</v>
      </c>
      <c r="H319" s="2" t="str">
        <f>_xlfn.XLOOKUP(C319,customers!$A$1:$A$1001,customers!$G$1:$G$1001,,0)</f>
        <v>United States</v>
      </c>
      <c r="I319" t="str">
        <f>INDEX(products!$A$1:$G$49, MATCH(orders!$D319,products!$A$1:$A$49,0), MATCH(I$1,products!$A$1:$G$1,0))</f>
        <v>Exc</v>
      </c>
      <c r="J319" t="str">
        <f>INDEX(products!$A$1:$G$49, MATCH(orders!$D319,products!$A$1:$A$49,0), MATCH(J$1,products!$A$1:$G$1,0))</f>
        <v>D</v>
      </c>
      <c r="K319" s="4">
        <f>INDEX(products!$A$1:$G$49, MATCH(orders!$D319,products!$A$1:$A$49,0), MATCH(K$1,products!$A$1:$G$1,0))</f>
        <v>0.5</v>
      </c>
      <c r="L319" s="5">
        <f>INDEX(products!$A$1:$G$49, MATCH(orders!$D319,products!$A$1:$A$49,0), MATCH(L$1,products!$A$1:$G$1,0))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 = 0, "", _xlfn.XLOOKUP(C320,customers!$A$1:$A$1001,customers!$C$1:$C$1001,,0))</f>
        <v>tbennison8u@google.cn</v>
      </c>
      <c r="H320" s="2" t="str">
        <f>_xlfn.XLOOKUP(C320,customers!$A$1:$A$1001,customers!$G$1:$G$1001,,0)</f>
        <v>United States</v>
      </c>
      <c r="I320" t="str">
        <f>INDEX(products!$A$1:$G$49, MATCH(orders!$D320,products!$A$1:$A$49,0), MATCH(I$1,products!$A$1:$G$1,0))</f>
        <v>Ara</v>
      </c>
      <c r="J320" t="str">
        <f>INDEX(products!$A$1:$G$49, MATCH(orders!$D320,products!$A$1:$A$49,0), MATCH(J$1,products!$A$1:$G$1,0))</f>
        <v>M</v>
      </c>
      <c r="K320" s="4">
        <f>INDEX(products!$A$1:$G$49, MATCH(orders!$D320,products!$A$1:$A$49,0), MATCH(K$1,products!$A$1:$G$1,0))</f>
        <v>2.5</v>
      </c>
      <c r="L320" s="5">
        <f>INDEX(products!$A$1:$G$49, MATCH(orders!$D320,products!$A$1:$A$49,0), MATCH(L$1,products!$A$1:$G$1,0))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 = 0, "", _xlfn.XLOOKUP(C321,customers!$A$1:$A$1001,customers!$C$1:$C$1001,,0))</f>
        <v>gtweed8v@yolasite.com</v>
      </c>
      <c r="H321" s="2" t="str">
        <f>_xlfn.XLOOKUP(C321,customers!$A$1:$A$1001,customers!$G$1:$G$1001,,0)</f>
        <v>United States</v>
      </c>
      <c r="I321" t="str">
        <f>INDEX(products!$A$1:$G$49, MATCH(orders!$D321,products!$A$1:$A$49,0), MATCH(I$1,products!$A$1:$G$1,0))</f>
        <v>Exc</v>
      </c>
      <c r="J321" t="str">
        <f>INDEX(products!$A$1:$G$49, MATCH(orders!$D321,products!$A$1:$A$49,0), MATCH(J$1,products!$A$1:$G$1,0))</f>
        <v>M</v>
      </c>
      <c r="K321" s="4">
        <f>INDEX(products!$A$1:$G$49, MATCH(orders!$D321,products!$A$1:$A$49,0), MATCH(K$1,products!$A$1:$G$1,0))</f>
        <v>0.2</v>
      </c>
      <c r="L321" s="5">
        <f>INDEX(products!$A$1:$G$49, MATCH(orders!$D321,products!$A$1:$A$49,0), MATCH(L$1,products!$A$1:$G$1,0))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 = 0, "", _xlfn.XLOOKUP(C322,customers!$A$1:$A$1001,customers!$C$1:$C$1001,,0))</f>
        <v>gtweed8v@yolasite.com</v>
      </c>
      <c r="H322" s="2" t="str">
        <f>_xlfn.XLOOKUP(C322,customers!$A$1:$A$1001,customers!$G$1:$G$1001,,0)</f>
        <v>United States</v>
      </c>
      <c r="I322" t="str">
        <f>INDEX(products!$A$1:$G$49, MATCH(orders!$D322,products!$A$1:$A$49,0), MATCH(I$1,products!$A$1:$G$1,0))</f>
        <v>Ara</v>
      </c>
      <c r="J322" t="str">
        <f>INDEX(products!$A$1:$G$49, MATCH(orders!$D322,products!$A$1:$A$49,0), MATCH(J$1,products!$A$1:$G$1,0))</f>
        <v>L</v>
      </c>
      <c r="K322" s="4">
        <f>INDEX(products!$A$1:$G$49, MATCH(orders!$D322,products!$A$1:$A$49,0), MATCH(K$1,products!$A$1:$G$1,0))</f>
        <v>0.2</v>
      </c>
      <c r="L322" s="5">
        <f>INDEX(products!$A$1:$G$49, MATCH(orders!$D322,products!$A$1:$A$49,0), MATCH(L$1,products!$A$1:$G$1,0))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 = 0, "", _xlfn.XLOOKUP(C323,customers!$A$1:$A$1001,customers!$C$1:$C$1001,,0))</f>
        <v>ggoggin8x@wix.com</v>
      </c>
      <c r="H323" s="2" t="str">
        <f>_xlfn.XLOOKUP(C323,customers!$A$1:$A$1001,customers!$G$1:$G$1001,,0)</f>
        <v>Ireland</v>
      </c>
      <c r="I323" t="str">
        <f>INDEX(products!$A$1:$G$49, MATCH(orders!$D323,products!$A$1:$A$49,0), MATCH(I$1,products!$A$1:$G$1,0))</f>
        <v>Ara</v>
      </c>
      <c r="J323" t="str">
        <f>INDEX(products!$A$1:$G$49, MATCH(orders!$D323,products!$A$1:$A$49,0), MATCH(J$1,products!$A$1:$G$1,0))</f>
        <v>M</v>
      </c>
      <c r="K323" s="4">
        <f>INDEX(products!$A$1:$G$49, MATCH(orders!$D323,products!$A$1:$A$49,0), MATCH(K$1,products!$A$1:$G$1,0))</f>
        <v>0.2</v>
      </c>
      <c r="L323" s="5">
        <f>INDEX(products!$A$1:$G$49, MATCH(orders!$D323,products!$A$1:$A$49,0), MATCH(L$1,products!$A$1:$G$1,0))</f>
        <v>3.375</v>
      </c>
      <c r="M323" s="5">
        <f t="shared" ref="M323:M386" si="15">L323*E323</f>
        <v>20.25</v>
      </c>
      <c r="N323" t="str">
        <f t="shared" ref="N323:N386" si="16">IF(I323="Rob", "Robusta", IF(I323 = "Exc", "Excelsa", IF(I323 = "Ara", "Arabica", IF(I323 = "Lib", "Liberica", ""))))</f>
        <v>Arabica</v>
      </c>
      <c r="O323" t="str">
        <f t="shared" ref="O323:O386" si="17">IF(J323 = "M", "Medium", IF(J323 = "L", "Light", IF( J323 = "D", "Dark", "")))</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 = 0, "", _xlfn.XLOOKUP(C324,customers!$A$1:$A$1001,customers!$C$1:$C$1001,,0))</f>
        <v>sjeyness8y@biglobe.ne.jp</v>
      </c>
      <c r="H324" s="2" t="str">
        <f>_xlfn.XLOOKUP(C324,customers!$A$1:$A$1001,customers!$G$1:$G$1001,,0)</f>
        <v>Ireland</v>
      </c>
      <c r="I324" t="str">
        <f>INDEX(products!$A$1:$G$49, MATCH(orders!$D324,products!$A$1:$A$49,0), MATCH(I$1,products!$A$1:$G$1,0))</f>
        <v>Lib</v>
      </c>
      <c r="J324" t="str">
        <f>INDEX(products!$A$1:$G$49, MATCH(orders!$D324,products!$A$1:$A$49,0), MATCH(J$1,products!$A$1:$G$1,0))</f>
        <v>D</v>
      </c>
      <c r="K324" s="4">
        <f>INDEX(products!$A$1:$G$49, MATCH(orders!$D324,products!$A$1:$A$49,0), MATCH(K$1,products!$A$1:$G$1,0))</f>
        <v>0.5</v>
      </c>
      <c r="L324" s="5">
        <f>INDEX(products!$A$1:$G$49, MATCH(orders!$D324,products!$A$1:$A$49,0), MATCH(L$1,products!$A$1:$G$1,0))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 = 0, "", _xlfn.XLOOKUP(C325,customers!$A$1:$A$1001,customers!$C$1:$C$1001,,0))</f>
        <v>dbonhome8z@shinystat.com</v>
      </c>
      <c r="H325" s="2" t="str">
        <f>_xlfn.XLOOKUP(C325,customers!$A$1:$A$1001,customers!$G$1:$G$1001,,0)</f>
        <v>United States</v>
      </c>
      <c r="I325" t="str">
        <f>INDEX(products!$A$1:$G$49, MATCH(orders!$D325,products!$A$1:$A$49,0), MATCH(I$1,products!$A$1:$G$1,0))</f>
        <v>Exc</v>
      </c>
      <c r="J325" t="str">
        <f>INDEX(products!$A$1:$G$49, MATCH(orders!$D325,products!$A$1:$A$49,0), MATCH(J$1,products!$A$1:$G$1,0))</f>
        <v>D</v>
      </c>
      <c r="K325" s="4">
        <f>INDEX(products!$A$1:$G$49, MATCH(orders!$D325,products!$A$1:$A$49,0), MATCH(K$1,products!$A$1:$G$1,0))</f>
        <v>0.2</v>
      </c>
      <c r="L325" s="5">
        <f>INDEX(products!$A$1:$G$49, MATCH(orders!$D325,products!$A$1:$A$49,0), MATCH(L$1,products!$A$1:$G$1,0))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 = 0, "", _xlfn.XLOOKUP(C326,customers!$A$1:$A$1001,customers!$C$1:$C$1001,,0))</f>
        <v/>
      </c>
      <c r="H326" s="2" t="str">
        <f>_xlfn.XLOOKUP(C326,customers!$A$1:$A$1001,customers!$G$1:$G$1001,,0)</f>
        <v>United States</v>
      </c>
      <c r="I326" t="str">
        <f>INDEX(products!$A$1:$G$49, MATCH(orders!$D326,products!$A$1:$A$49,0), MATCH(I$1,products!$A$1:$G$1,0))</f>
        <v>Exc</v>
      </c>
      <c r="J326" t="str">
        <f>INDEX(products!$A$1:$G$49, MATCH(orders!$D326,products!$A$1:$A$49,0), MATCH(J$1,products!$A$1:$G$1,0))</f>
        <v>M</v>
      </c>
      <c r="K326" s="4">
        <f>INDEX(products!$A$1:$G$49, MATCH(orders!$D326,products!$A$1:$A$49,0), MATCH(K$1,products!$A$1:$G$1,0))</f>
        <v>1</v>
      </c>
      <c r="L326" s="5">
        <f>INDEX(products!$A$1:$G$49, MATCH(orders!$D326,products!$A$1:$A$49,0), MATCH(L$1,products!$A$1:$G$1,0))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 = 0, "", _xlfn.XLOOKUP(C327,customers!$A$1:$A$1001,customers!$C$1:$C$1001,,0))</f>
        <v>tle91@epa.gov</v>
      </c>
      <c r="H327" s="2" t="str">
        <f>_xlfn.XLOOKUP(C327,customers!$A$1:$A$1001,customers!$G$1:$G$1001,,0)</f>
        <v>United States</v>
      </c>
      <c r="I327" t="str">
        <f>INDEX(products!$A$1:$G$49, MATCH(orders!$D327,products!$A$1:$A$49,0), MATCH(I$1,products!$A$1:$G$1,0))</f>
        <v>Ara</v>
      </c>
      <c r="J327" t="str">
        <f>INDEX(products!$A$1:$G$49, MATCH(orders!$D327,products!$A$1:$A$49,0), MATCH(J$1,products!$A$1:$G$1,0))</f>
        <v>L</v>
      </c>
      <c r="K327" s="4">
        <f>INDEX(products!$A$1:$G$49, MATCH(orders!$D327,products!$A$1:$A$49,0), MATCH(K$1,products!$A$1:$G$1,0))</f>
        <v>2.5</v>
      </c>
      <c r="L327" s="5">
        <f>INDEX(products!$A$1:$G$49, MATCH(orders!$D327,products!$A$1:$A$49,0), MATCH(L$1,products!$A$1:$G$1,0))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 = 0, "", _xlfn.XLOOKUP(C328,customers!$A$1:$A$1001,customers!$C$1:$C$1001,,0))</f>
        <v/>
      </c>
      <c r="H328" s="2" t="str">
        <f>_xlfn.XLOOKUP(C328,customers!$A$1:$A$1001,customers!$G$1:$G$1001,,0)</f>
        <v>United States</v>
      </c>
      <c r="I328" t="str">
        <f>INDEX(products!$A$1:$G$49, MATCH(orders!$D328,products!$A$1:$A$49,0), MATCH(I$1,products!$A$1:$G$1,0))</f>
        <v>Rob</v>
      </c>
      <c r="J328" t="str">
        <f>INDEX(products!$A$1:$G$49, MATCH(orders!$D328,products!$A$1:$A$49,0), MATCH(J$1,products!$A$1:$G$1,0))</f>
        <v>D</v>
      </c>
      <c r="K328" s="4">
        <f>INDEX(products!$A$1:$G$49, MATCH(orders!$D328,products!$A$1:$A$49,0), MATCH(K$1,products!$A$1:$G$1,0))</f>
        <v>1</v>
      </c>
      <c r="L328" s="5">
        <f>INDEX(products!$A$1:$G$49, MATCH(orders!$D328,products!$A$1:$A$49,0), MATCH(L$1,products!$A$1:$G$1,0))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 = 0, "", _xlfn.XLOOKUP(C329,customers!$A$1:$A$1001,customers!$C$1:$C$1001,,0))</f>
        <v>balldridge93@yandex.ru</v>
      </c>
      <c r="H329" s="2" t="str">
        <f>_xlfn.XLOOKUP(C329,customers!$A$1:$A$1001,customers!$G$1:$G$1001,,0)</f>
        <v>United States</v>
      </c>
      <c r="I329" t="str">
        <f>INDEX(products!$A$1:$G$49, MATCH(orders!$D329,products!$A$1:$A$49,0), MATCH(I$1,products!$A$1:$G$1,0))</f>
        <v>Rob</v>
      </c>
      <c r="J329" t="str">
        <f>INDEX(products!$A$1:$G$49, MATCH(orders!$D329,products!$A$1:$A$49,0), MATCH(J$1,products!$A$1:$G$1,0))</f>
        <v>D</v>
      </c>
      <c r="K329" s="4">
        <f>INDEX(products!$A$1:$G$49, MATCH(orders!$D329,products!$A$1:$A$49,0), MATCH(K$1,products!$A$1:$G$1,0))</f>
        <v>1</v>
      </c>
      <c r="L329" s="5">
        <f>INDEX(products!$A$1:$G$49, MATCH(orders!$D329,products!$A$1:$A$49,0), MATCH(L$1,products!$A$1:$G$1,0))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 = 0, "", _xlfn.XLOOKUP(C330,customers!$A$1:$A$1001,customers!$C$1:$C$1001,,0))</f>
        <v/>
      </c>
      <c r="H330" s="2" t="str">
        <f>_xlfn.XLOOKUP(C330,customers!$A$1:$A$1001,customers!$G$1:$G$1001,,0)</f>
        <v>United States</v>
      </c>
      <c r="I330" t="str">
        <f>INDEX(products!$A$1:$G$49, MATCH(orders!$D330,products!$A$1:$A$49,0), MATCH(I$1,products!$A$1:$G$1,0))</f>
        <v>Lib</v>
      </c>
      <c r="J330" t="str">
        <f>INDEX(products!$A$1:$G$49, MATCH(orders!$D330,products!$A$1:$A$49,0), MATCH(J$1,products!$A$1:$G$1,0))</f>
        <v>L</v>
      </c>
      <c r="K330" s="4">
        <f>INDEX(products!$A$1:$G$49, MATCH(orders!$D330,products!$A$1:$A$49,0), MATCH(K$1,products!$A$1:$G$1,0))</f>
        <v>0.5</v>
      </c>
      <c r="L330" s="5">
        <f>INDEX(products!$A$1:$G$49, MATCH(orders!$D330,products!$A$1:$A$49,0), MATCH(L$1,products!$A$1:$G$1,0))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 = 0, "", _xlfn.XLOOKUP(C331,customers!$A$1:$A$1001,customers!$C$1:$C$1001,,0))</f>
        <v>lgoodger95@guardian.co.uk</v>
      </c>
      <c r="H331" s="2" t="str">
        <f>_xlfn.XLOOKUP(C331,customers!$A$1:$A$1001,customers!$G$1:$G$1001,,0)</f>
        <v>United States</v>
      </c>
      <c r="I331" t="str">
        <f>INDEX(products!$A$1:$G$49, MATCH(orders!$D331,products!$A$1:$A$49,0), MATCH(I$1,products!$A$1:$G$1,0))</f>
        <v>Rob</v>
      </c>
      <c r="J331" t="str">
        <f>INDEX(products!$A$1:$G$49, MATCH(orders!$D331,products!$A$1:$A$49,0), MATCH(J$1,products!$A$1:$G$1,0))</f>
        <v>D</v>
      </c>
      <c r="K331" s="4">
        <f>INDEX(products!$A$1:$G$49, MATCH(orders!$D331,products!$A$1:$A$49,0), MATCH(K$1,products!$A$1:$G$1,0))</f>
        <v>0.5</v>
      </c>
      <c r="L331" s="5">
        <f>INDEX(products!$A$1:$G$49, MATCH(orders!$D331,products!$A$1:$A$49,0), MATCH(L$1,products!$A$1:$G$1,0))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 = 0, "", _xlfn.XLOOKUP(C332,customers!$A$1:$A$1001,customers!$C$1:$C$1001,,0))</f>
        <v>smcmillian8t@csmonitor.com</v>
      </c>
      <c r="H332" s="2" t="str">
        <f>_xlfn.XLOOKUP(C332,customers!$A$1:$A$1001,customers!$G$1:$G$1001,,0)</f>
        <v>United States</v>
      </c>
      <c r="I332" t="str">
        <f>INDEX(products!$A$1:$G$49, MATCH(orders!$D332,products!$A$1:$A$49,0), MATCH(I$1,products!$A$1:$G$1,0))</f>
        <v>Rob</v>
      </c>
      <c r="J332" t="str">
        <f>INDEX(products!$A$1:$G$49, MATCH(orders!$D332,products!$A$1:$A$49,0), MATCH(J$1,products!$A$1:$G$1,0))</f>
        <v>D</v>
      </c>
      <c r="K332" s="4">
        <f>INDEX(products!$A$1:$G$49, MATCH(orders!$D332,products!$A$1:$A$49,0), MATCH(K$1,products!$A$1:$G$1,0))</f>
        <v>0.5</v>
      </c>
      <c r="L332" s="5">
        <f>INDEX(products!$A$1:$G$49, MATCH(orders!$D332,products!$A$1:$A$49,0), MATCH(L$1,products!$A$1:$G$1,0))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 = 0, "", _xlfn.XLOOKUP(C333,customers!$A$1:$A$1001,customers!$C$1:$C$1001,,0))</f>
        <v>cdrewett97@wikipedia.org</v>
      </c>
      <c r="H333" s="2" t="str">
        <f>_xlfn.XLOOKUP(C333,customers!$A$1:$A$1001,customers!$G$1:$G$1001,,0)</f>
        <v>United States</v>
      </c>
      <c r="I333" t="str">
        <f>INDEX(products!$A$1:$G$49, MATCH(orders!$D333,products!$A$1:$A$49,0), MATCH(I$1,products!$A$1:$G$1,0))</f>
        <v>Rob</v>
      </c>
      <c r="J333" t="str">
        <f>INDEX(products!$A$1:$G$49, MATCH(orders!$D333,products!$A$1:$A$49,0), MATCH(J$1,products!$A$1:$G$1,0))</f>
        <v>M</v>
      </c>
      <c r="K333" s="4">
        <f>INDEX(products!$A$1:$G$49, MATCH(orders!$D333,products!$A$1:$A$49,0), MATCH(K$1,products!$A$1:$G$1,0))</f>
        <v>2.5</v>
      </c>
      <c r="L333" s="5">
        <f>INDEX(products!$A$1:$G$49, MATCH(orders!$D333,products!$A$1:$A$49,0), MATCH(L$1,products!$A$1:$G$1,0))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 = 0, "", _xlfn.XLOOKUP(C334,customers!$A$1:$A$1001,customers!$C$1:$C$1001,,0))</f>
        <v>qparsons98@blogtalkradio.com</v>
      </c>
      <c r="H334" s="2" t="str">
        <f>_xlfn.XLOOKUP(C334,customers!$A$1:$A$1001,customers!$G$1:$G$1001,,0)</f>
        <v>United States</v>
      </c>
      <c r="I334" t="str">
        <f>INDEX(products!$A$1:$G$49, MATCH(orders!$D334,products!$A$1:$A$49,0), MATCH(I$1,products!$A$1:$G$1,0))</f>
        <v>Ara</v>
      </c>
      <c r="J334" t="str">
        <f>INDEX(products!$A$1:$G$49, MATCH(orders!$D334,products!$A$1:$A$49,0), MATCH(J$1,products!$A$1:$G$1,0))</f>
        <v>D</v>
      </c>
      <c r="K334" s="4">
        <f>INDEX(products!$A$1:$G$49, MATCH(orders!$D334,products!$A$1:$A$49,0), MATCH(K$1,products!$A$1:$G$1,0))</f>
        <v>0.5</v>
      </c>
      <c r="L334" s="5">
        <f>INDEX(products!$A$1:$G$49, MATCH(orders!$D334,products!$A$1:$A$49,0), MATCH(L$1,products!$A$1:$G$1,0))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 = 0, "", _xlfn.XLOOKUP(C335,customers!$A$1:$A$1001,customers!$C$1:$C$1001,,0))</f>
        <v>vceely99@auda.org.au</v>
      </c>
      <c r="H335" s="2" t="str">
        <f>_xlfn.XLOOKUP(C335,customers!$A$1:$A$1001,customers!$G$1:$G$1001,,0)</f>
        <v>United States</v>
      </c>
      <c r="I335" t="str">
        <f>INDEX(products!$A$1:$G$49, MATCH(orders!$D335,products!$A$1:$A$49,0), MATCH(I$1,products!$A$1:$G$1,0))</f>
        <v>Rob</v>
      </c>
      <c r="J335" t="str">
        <f>INDEX(products!$A$1:$G$49, MATCH(orders!$D335,products!$A$1:$A$49,0), MATCH(J$1,products!$A$1:$G$1,0))</f>
        <v>M</v>
      </c>
      <c r="K335" s="4">
        <f>INDEX(products!$A$1:$G$49, MATCH(orders!$D335,products!$A$1:$A$49,0), MATCH(K$1,products!$A$1:$G$1,0))</f>
        <v>0.5</v>
      </c>
      <c r="L335" s="5">
        <f>INDEX(products!$A$1:$G$49, MATCH(orders!$D335,products!$A$1:$A$49,0), MATCH(L$1,products!$A$1:$G$1,0))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 = 0, "", _xlfn.XLOOKUP(C336,customers!$A$1:$A$1001,customers!$C$1:$C$1001,,0))</f>
        <v/>
      </c>
      <c r="H336" s="2" t="str">
        <f>_xlfn.XLOOKUP(C336,customers!$A$1:$A$1001,customers!$G$1:$G$1001,,0)</f>
        <v>United States</v>
      </c>
      <c r="I336" t="str">
        <f>INDEX(products!$A$1:$G$49, MATCH(orders!$D336,products!$A$1:$A$49,0), MATCH(I$1,products!$A$1:$G$1,0))</f>
        <v>Rob</v>
      </c>
      <c r="J336" t="str">
        <f>INDEX(products!$A$1:$G$49, MATCH(orders!$D336,products!$A$1:$A$49,0), MATCH(J$1,products!$A$1:$G$1,0))</f>
        <v>L</v>
      </c>
      <c r="K336" s="4">
        <f>INDEX(products!$A$1:$G$49, MATCH(orders!$D336,products!$A$1:$A$49,0), MATCH(K$1,products!$A$1:$G$1,0))</f>
        <v>1</v>
      </c>
      <c r="L336" s="5">
        <f>INDEX(products!$A$1:$G$49, MATCH(orders!$D336,products!$A$1:$A$49,0), MATCH(L$1,products!$A$1:$G$1,0))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 = 0, "", _xlfn.XLOOKUP(C337,customers!$A$1:$A$1001,customers!$C$1:$C$1001,,0))</f>
        <v>cvasiliev9b@discuz.net</v>
      </c>
      <c r="H337" s="2" t="str">
        <f>_xlfn.XLOOKUP(C337,customers!$A$1:$A$1001,customers!$G$1:$G$1001,,0)</f>
        <v>United States</v>
      </c>
      <c r="I337" t="str">
        <f>INDEX(products!$A$1:$G$49, MATCH(orders!$D337,products!$A$1:$A$49,0), MATCH(I$1,products!$A$1:$G$1,0))</f>
        <v>Lib</v>
      </c>
      <c r="J337" t="str">
        <f>INDEX(products!$A$1:$G$49, MATCH(orders!$D337,products!$A$1:$A$49,0), MATCH(J$1,products!$A$1:$G$1,0))</f>
        <v>L</v>
      </c>
      <c r="K337" s="4">
        <f>INDEX(products!$A$1:$G$49, MATCH(orders!$D337,products!$A$1:$A$49,0), MATCH(K$1,products!$A$1:$G$1,0))</f>
        <v>0.2</v>
      </c>
      <c r="L337" s="5">
        <f>INDEX(products!$A$1:$G$49, MATCH(orders!$D337,products!$A$1:$A$49,0), MATCH(L$1,products!$A$1:$G$1,0))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 = 0, "", _xlfn.XLOOKUP(C338,customers!$A$1:$A$1001,customers!$C$1:$C$1001,,0))</f>
        <v>tomoylan9c@liveinternet.ru</v>
      </c>
      <c r="H338" s="2" t="str">
        <f>_xlfn.XLOOKUP(C338,customers!$A$1:$A$1001,customers!$G$1:$G$1001,,0)</f>
        <v>United Kingdom</v>
      </c>
      <c r="I338" t="str">
        <f>INDEX(products!$A$1:$G$49, MATCH(orders!$D338,products!$A$1:$A$49,0), MATCH(I$1,products!$A$1:$G$1,0))</f>
        <v>Ara</v>
      </c>
      <c r="J338" t="str">
        <f>INDEX(products!$A$1:$G$49, MATCH(orders!$D338,products!$A$1:$A$49,0), MATCH(J$1,products!$A$1:$G$1,0))</f>
        <v>M</v>
      </c>
      <c r="K338" s="4">
        <f>INDEX(products!$A$1:$G$49, MATCH(orders!$D338,products!$A$1:$A$49,0), MATCH(K$1,products!$A$1:$G$1,0))</f>
        <v>1</v>
      </c>
      <c r="L338" s="5">
        <f>INDEX(products!$A$1:$G$49, MATCH(orders!$D338,products!$A$1:$A$49,0), MATCH(L$1,products!$A$1:$G$1,0))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 = 0, "", _xlfn.XLOOKUP(C339,customers!$A$1:$A$1001,customers!$C$1:$C$1001,,0))</f>
        <v/>
      </c>
      <c r="H339" s="2" t="str">
        <f>_xlfn.XLOOKUP(C339,customers!$A$1:$A$1001,customers!$G$1:$G$1001,,0)</f>
        <v>United States</v>
      </c>
      <c r="I339" t="str">
        <f>INDEX(products!$A$1:$G$49, MATCH(orders!$D339,products!$A$1:$A$49,0), MATCH(I$1,products!$A$1:$G$1,0))</f>
        <v>Exc</v>
      </c>
      <c r="J339" t="str">
        <f>INDEX(products!$A$1:$G$49, MATCH(orders!$D339,products!$A$1:$A$49,0), MATCH(J$1,products!$A$1:$G$1,0))</f>
        <v>D</v>
      </c>
      <c r="K339" s="4">
        <f>INDEX(products!$A$1:$G$49, MATCH(orders!$D339,products!$A$1:$A$49,0), MATCH(K$1,products!$A$1:$G$1,0))</f>
        <v>2.5</v>
      </c>
      <c r="L339" s="5">
        <f>INDEX(products!$A$1:$G$49, MATCH(orders!$D339,products!$A$1:$A$49,0), MATCH(L$1,products!$A$1:$G$1,0))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 = 0, "", _xlfn.XLOOKUP(C340,customers!$A$1:$A$1001,customers!$C$1:$C$1001,,0))</f>
        <v>wfetherston9e@constantcontact.com</v>
      </c>
      <c r="H340" s="2" t="str">
        <f>_xlfn.XLOOKUP(C340,customers!$A$1:$A$1001,customers!$G$1:$G$1001,,0)</f>
        <v>United States</v>
      </c>
      <c r="I340" t="str">
        <f>INDEX(products!$A$1:$G$49, MATCH(orders!$D340,products!$A$1:$A$49,0), MATCH(I$1,products!$A$1:$G$1,0))</f>
        <v>Exc</v>
      </c>
      <c r="J340" t="str">
        <f>INDEX(products!$A$1:$G$49, MATCH(orders!$D340,products!$A$1:$A$49,0), MATCH(J$1,products!$A$1:$G$1,0))</f>
        <v>L</v>
      </c>
      <c r="K340" s="4">
        <f>INDEX(products!$A$1:$G$49, MATCH(orders!$D340,products!$A$1:$A$49,0), MATCH(K$1,products!$A$1:$G$1,0))</f>
        <v>1</v>
      </c>
      <c r="L340" s="5">
        <f>INDEX(products!$A$1:$G$49, MATCH(orders!$D340,products!$A$1:$A$49,0), MATCH(L$1,products!$A$1:$G$1,0))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 = 0, "", _xlfn.XLOOKUP(C341,customers!$A$1:$A$1001,customers!$C$1:$C$1001,,0))</f>
        <v>erasmus9f@techcrunch.com</v>
      </c>
      <c r="H341" s="2" t="str">
        <f>_xlfn.XLOOKUP(C341,customers!$A$1:$A$1001,customers!$G$1:$G$1001,,0)</f>
        <v>United States</v>
      </c>
      <c r="I341" t="str">
        <f>INDEX(products!$A$1:$G$49, MATCH(orders!$D341,products!$A$1:$A$49,0), MATCH(I$1,products!$A$1:$G$1,0))</f>
        <v>Exc</v>
      </c>
      <c r="J341" t="str">
        <f>INDEX(products!$A$1:$G$49, MATCH(orders!$D341,products!$A$1:$A$49,0), MATCH(J$1,products!$A$1:$G$1,0))</f>
        <v>D</v>
      </c>
      <c r="K341" s="4">
        <f>INDEX(products!$A$1:$G$49, MATCH(orders!$D341,products!$A$1:$A$49,0), MATCH(K$1,products!$A$1:$G$1,0))</f>
        <v>0.2</v>
      </c>
      <c r="L341" s="5">
        <f>INDEX(products!$A$1:$G$49, MATCH(orders!$D341,products!$A$1:$A$49,0), MATCH(L$1,products!$A$1:$G$1,0))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 = 0, "", _xlfn.XLOOKUP(C342,customers!$A$1:$A$1001,customers!$C$1:$C$1001,,0))</f>
        <v>wgiorgioni9g@wikipedia.org</v>
      </c>
      <c r="H342" s="2" t="str">
        <f>_xlfn.XLOOKUP(C342,customers!$A$1:$A$1001,customers!$G$1:$G$1001,,0)</f>
        <v>United States</v>
      </c>
      <c r="I342" t="str">
        <f>INDEX(products!$A$1:$G$49, MATCH(orders!$D342,products!$A$1:$A$49,0), MATCH(I$1,products!$A$1:$G$1,0))</f>
        <v>Exc</v>
      </c>
      <c r="J342" t="str">
        <f>INDEX(products!$A$1:$G$49, MATCH(orders!$D342,products!$A$1:$A$49,0), MATCH(J$1,products!$A$1:$G$1,0))</f>
        <v>D</v>
      </c>
      <c r="K342" s="4">
        <f>INDEX(products!$A$1:$G$49, MATCH(orders!$D342,products!$A$1:$A$49,0), MATCH(K$1,products!$A$1:$G$1,0))</f>
        <v>0.5</v>
      </c>
      <c r="L342" s="5">
        <f>INDEX(products!$A$1:$G$49, MATCH(orders!$D342,products!$A$1:$A$49,0), MATCH(L$1,products!$A$1:$G$1,0))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 = 0, "", _xlfn.XLOOKUP(C343,customers!$A$1:$A$1001,customers!$C$1:$C$1001,,0))</f>
        <v>lscargle9h@myspace.com</v>
      </c>
      <c r="H343" s="2" t="str">
        <f>_xlfn.XLOOKUP(C343,customers!$A$1:$A$1001,customers!$G$1:$G$1001,,0)</f>
        <v>United States</v>
      </c>
      <c r="I343" t="str">
        <f>INDEX(products!$A$1:$G$49, MATCH(orders!$D343,products!$A$1:$A$49,0), MATCH(I$1,products!$A$1:$G$1,0))</f>
        <v>Exc</v>
      </c>
      <c r="J343" t="str">
        <f>INDEX(products!$A$1:$G$49, MATCH(orders!$D343,products!$A$1:$A$49,0), MATCH(J$1,products!$A$1:$G$1,0))</f>
        <v>L</v>
      </c>
      <c r="K343" s="4">
        <f>INDEX(products!$A$1:$G$49, MATCH(orders!$D343,products!$A$1:$A$49,0), MATCH(K$1,products!$A$1:$G$1,0))</f>
        <v>0.5</v>
      </c>
      <c r="L343" s="5">
        <f>INDEX(products!$A$1:$G$49, MATCH(orders!$D343,products!$A$1:$A$49,0), MATCH(L$1,products!$A$1:$G$1,0))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 = 0, "", _xlfn.XLOOKUP(C344,customers!$A$1:$A$1001,customers!$C$1:$C$1001,,0))</f>
        <v>lscargle9h@myspace.com</v>
      </c>
      <c r="H344" s="2" t="str">
        <f>_xlfn.XLOOKUP(C344,customers!$A$1:$A$1001,customers!$G$1:$G$1001,,0)</f>
        <v>United States</v>
      </c>
      <c r="I344" t="str">
        <f>INDEX(products!$A$1:$G$49, MATCH(orders!$D344,products!$A$1:$A$49,0), MATCH(I$1,products!$A$1:$G$1,0))</f>
        <v>Lib</v>
      </c>
      <c r="J344" t="str">
        <f>INDEX(products!$A$1:$G$49, MATCH(orders!$D344,products!$A$1:$A$49,0), MATCH(J$1,products!$A$1:$G$1,0))</f>
        <v>D</v>
      </c>
      <c r="K344" s="4">
        <f>INDEX(products!$A$1:$G$49, MATCH(orders!$D344,products!$A$1:$A$49,0), MATCH(K$1,products!$A$1:$G$1,0))</f>
        <v>0.5</v>
      </c>
      <c r="L344" s="5">
        <f>INDEX(products!$A$1:$G$49, MATCH(orders!$D344,products!$A$1:$A$49,0), MATCH(L$1,products!$A$1:$G$1,0))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 = 0, "", _xlfn.XLOOKUP(C345,customers!$A$1:$A$1001,customers!$C$1:$C$1001,,0))</f>
        <v>nclimance9j@europa.eu</v>
      </c>
      <c r="H345" s="2" t="str">
        <f>_xlfn.XLOOKUP(C345,customers!$A$1:$A$1001,customers!$G$1:$G$1001,,0)</f>
        <v>United States</v>
      </c>
      <c r="I345" t="str">
        <f>INDEX(products!$A$1:$G$49, MATCH(orders!$D345,products!$A$1:$A$49,0), MATCH(I$1,products!$A$1:$G$1,0))</f>
        <v>Rob</v>
      </c>
      <c r="J345" t="str">
        <f>INDEX(products!$A$1:$G$49, MATCH(orders!$D345,products!$A$1:$A$49,0), MATCH(J$1,products!$A$1:$G$1,0))</f>
        <v>D</v>
      </c>
      <c r="K345" s="4">
        <f>INDEX(products!$A$1:$G$49, MATCH(orders!$D345,products!$A$1:$A$49,0), MATCH(K$1,products!$A$1:$G$1,0))</f>
        <v>0.5</v>
      </c>
      <c r="L345" s="5">
        <f>INDEX(products!$A$1:$G$49, MATCH(orders!$D345,products!$A$1:$A$49,0), MATCH(L$1,products!$A$1:$G$1,0))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 = 0, "", _xlfn.XLOOKUP(C346,customers!$A$1:$A$1001,customers!$C$1:$C$1001,,0))</f>
        <v/>
      </c>
      <c r="H346" s="2" t="str">
        <f>_xlfn.XLOOKUP(C346,customers!$A$1:$A$1001,customers!$G$1:$G$1001,,0)</f>
        <v>Ireland</v>
      </c>
      <c r="I346" t="str">
        <f>INDEX(products!$A$1:$G$49, MATCH(orders!$D346,products!$A$1:$A$49,0), MATCH(I$1,products!$A$1:$G$1,0))</f>
        <v>Rob</v>
      </c>
      <c r="J346" t="str">
        <f>INDEX(products!$A$1:$G$49, MATCH(orders!$D346,products!$A$1:$A$49,0), MATCH(J$1,products!$A$1:$G$1,0))</f>
        <v>M</v>
      </c>
      <c r="K346" s="4">
        <f>INDEX(products!$A$1:$G$49, MATCH(orders!$D346,products!$A$1:$A$49,0), MATCH(K$1,products!$A$1:$G$1,0))</f>
        <v>1</v>
      </c>
      <c r="L346" s="5">
        <f>INDEX(products!$A$1:$G$49, MATCH(orders!$D346,products!$A$1:$A$49,0), MATCH(L$1,products!$A$1:$G$1,0))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 = 0, "", _xlfn.XLOOKUP(C347,customers!$A$1:$A$1001,customers!$C$1:$C$1001,,0))</f>
        <v>asnazle9l@oracle.com</v>
      </c>
      <c r="H347" s="2" t="str">
        <f>_xlfn.XLOOKUP(C347,customers!$A$1:$A$1001,customers!$G$1:$G$1001,,0)</f>
        <v>United States</v>
      </c>
      <c r="I347" t="str">
        <f>INDEX(products!$A$1:$G$49, MATCH(orders!$D347,products!$A$1:$A$49,0), MATCH(I$1,products!$A$1:$G$1,0))</f>
        <v>Rob</v>
      </c>
      <c r="J347" t="str">
        <f>INDEX(products!$A$1:$G$49, MATCH(orders!$D347,products!$A$1:$A$49,0), MATCH(J$1,products!$A$1:$G$1,0))</f>
        <v>L</v>
      </c>
      <c r="K347" s="4">
        <f>INDEX(products!$A$1:$G$49, MATCH(orders!$D347,products!$A$1:$A$49,0), MATCH(K$1,products!$A$1:$G$1,0))</f>
        <v>1</v>
      </c>
      <c r="L347" s="5">
        <f>INDEX(products!$A$1:$G$49, MATCH(orders!$D347,products!$A$1:$A$49,0), MATCH(L$1,products!$A$1:$G$1,0))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 = 0, "", _xlfn.XLOOKUP(C348,customers!$A$1:$A$1001,customers!$C$1:$C$1001,,0))</f>
        <v>rworg9m@arstechnica.com</v>
      </c>
      <c r="H348" s="2" t="str">
        <f>_xlfn.XLOOKUP(C348,customers!$A$1:$A$1001,customers!$G$1:$G$1001,,0)</f>
        <v>United States</v>
      </c>
      <c r="I348" t="str">
        <f>INDEX(products!$A$1:$G$49, MATCH(orders!$D348,products!$A$1:$A$49,0), MATCH(I$1,products!$A$1:$G$1,0))</f>
        <v>Ara</v>
      </c>
      <c r="J348" t="str">
        <f>INDEX(products!$A$1:$G$49, MATCH(orders!$D348,products!$A$1:$A$49,0), MATCH(J$1,products!$A$1:$G$1,0))</f>
        <v>L</v>
      </c>
      <c r="K348" s="4">
        <f>INDEX(products!$A$1:$G$49, MATCH(orders!$D348,products!$A$1:$A$49,0), MATCH(K$1,products!$A$1:$G$1,0))</f>
        <v>0.5</v>
      </c>
      <c r="L348" s="5">
        <f>INDEX(products!$A$1:$G$49, MATCH(orders!$D348,products!$A$1:$A$49,0), MATCH(L$1,products!$A$1:$G$1,0))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 = 0, "", _xlfn.XLOOKUP(C349,customers!$A$1:$A$1001,customers!$C$1:$C$1001,,0))</f>
        <v>ldanes9n@umn.edu</v>
      </c>
      <c r="H349" s="2" t="str">
        <f>_xlfn.XLOOKUP(C349,customers!$A$1:$A$1001,customers!$G$1:$G$1001,,0)</f>
        <v>United States</v>
      </c>
      <c r="I349" t="str">
        <f>INDEX(products!$A$1:$G$49, MATCH(orders!$D349,products!$A$1:$A$49,0), MATCH(I$1,products!$A$1:$G$1,0))</f>
        <v>Lib</v>
      </c>
      <c r="J349" t="str">
        <f>INDEX(products!$A$1:$G$49, MATCH(orders!$D349,products!$A$1:$A$49,0), MATCH(J$1,products!$A$1:$G$1,0))</f>
        <v>M</v>
      </c>
      <c r="K349" s="4">
        <f>INDEX(products!$A$1:$G$49, MATCH(orders!$D349,products!$A$1:$A$49,0), MATCH(K$1,products!$A$1:$G$1,0))</f>
        <v>1</v>
      </c>
      <c r="L349" s="5">
        <f>INDEX(products!$A$1:$G$49, MATCH(orders!$D349,products!$A$1:$A$49,0), MATCH(L$1,products!$A$1:$G$1,0))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 = 0, "", _xlfn.XLOOKUP(C350,customers!$A$1:$A$1001,customers!$C$1:$C$1001,,0))</f>
        <v>skeynd9o@narod.ru</v>
      </c>
      <c r="H350" s="2" t="str">
        <f>_xlfn.XLOOKUP(C350,customers!$A$1:$A$1001,customers!$G$1:$G$1001,,0)</f>
        <v>United States</v>
      </c>
      <c r="I350" t="str">
        <f>INDEX(products!$A$1:$G$49, MATCH(orders!$D350,products!$A$1:$A$49,0), MATCH(I$1,products!$A$1:$G$1,0))</f>
        <v>Exc</v>
      </c>
      <c r="J350" t="str">
        <f>INDEX(products!$A$1:$G$49, MATCH(orders!$D350,products!$A$1:$A$49,0), MATCH(J$1,products!$A$1:$G$1,0))</f>
        <v>L</v>
      </c>
      <c r="K350" s="4">
        <f>INDEX(products!$A$1:$G$49, MATCH(orders!$D350,products!$A$1:$A$49,0), MATCH(K$1,products!$A$1:$G$1,0))</f>
        <v>2.5</v>
      </c>
      <c r="L350" s="5">
        <f>INDEX(products!$A$1:$G$49, MATCH(orders!$D350,products!$A$1:$A$49,0), MATCH(L$1,products!$A$1:$G$1,0))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 = 0, "", _xlfn.XLOOKUP(C351,customers!$A$1:$A$1001,customers!$C$1:$C$1001,,0))</f>
        <v>ddaveridge9p@arstechnica.com</v>
      </c>
      <c r="H351" s="2" t="str">
        <f>_xlfn.XLOOKUP(C351,customers!$A$1:$A$1001,customers!$G$1:$G$1001,,0)</f>
        <v>United States</v>
      </c>
      <c r="I351" t="str">
        <f>INDEX(products!$A$1:$G$49, MATCH(orders!$D351,products!$A$1:$A$49,0), MATCH(I$1,products!$A$1:$G$1,0))</f>
        <v>Rob</v>
      </c>
      <c r="J351" t="str">
        <f>INDEX(products!$A$1:$G$49, MATCH(orders!$D351,products!$A$1:$A$49,0), MATCH(J$1,products!$A$1:$G$1,0))</f>
        <v>L</v>
      </c>
      <c r="K351" s="4">
        <f>INDEX(products!$A$1:$G$49, MATCH(orders!$D351,products!$A$1:$A$49,0), MATCH(K$1,products!$A$1:$G$1,0))</f>
        <v>0.2</v>
      </c>
      <c r="L351" s="5">
        <f>INDEX(products!$A$1:$G$49, MATCH(orders!$D351,products!$A$1:$A$49,0), MATCH(L$1,products!$A$1:$G$1,0))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 = 0, "", _xlfn.XLOOKUP(C352,customers!$A$1:$A$1001,customers!$C$1:$C$1001,,0))</f>
        <v>jawdry9q@utexas.edu</v>
      </c>
      <c r="H352" s="2" t="str">
        <f>_xlfn.XLOOKUP(C352,customers!$A$1:$A$1001,customers!$G$1:$G$1001,,0)</f>
        <v>United States</v>
      </c>
      <c r="I352" t="str">
        <f>INDEX(products!$A$1:$G$49, MATCH(orders!$D352,products!$A$1:$A$49,0), MATCH(I$1,products!$A$1:$G$1,0))</f>
        <v>Ara</v>
      </c>
      <c r="J352" t="str">
        <f>INDEX(products!$A$1:$G$49, MATCH(orders!$D352,products!$A$1:$A$49,0), MATCH(J$1,products!$A$1:$G$1,0))</f>
        <v>D</v>
      </c>
      <c r="K352" s="4">
        <f>INDEX(products!$A$1:$G$49, MATCH(orders!$D352,products!$A$1:$A$49,0), MATCH(K$1,products!$A$1:$G$1,0))</f>
        <v>0.5</v>
      </c>
      <c r="L352" s="5">
        <f>INDEX(products!$A$1:$G$49, MATCH(orders!$D352,products!$A$1:$A$49,0), MATCH(L$1,products!$A$1:$G$1,0))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 = 0, "", _xlfn.XLOOKUP(C353,customers!$A$1:$A$1001,customers!$C$1:$C$1001,,0))</f>
        <v>eryles9r@fastcompany.com</v>
      </c>
      <c r="H353" s="2" t="str">
        <f>_xlfn.XLOOKUP(C353,customers!$A$1:$A$1001,customers!$G$1:$G$1001,,0)</f>
        <v>United States</v>
      </c>
      <c r="I353" t="str">
        <f>INDEX(products!$A$1:$G$49, MATCH(orders!$D353,products!$A$1:$A$49,0), MATCH(I$1,products!$A$1:$G$1,0))</f>
        <v>Ara</v>
      </c>
      <c r="J353" t="str">
        <f>INDEX(products!$A$1:$G$49, MATCH(orders!$D353,products!$A$1:$A$49,0), MATCH(J$1,products!$A$1:$G$1,0))</f>
        <v>M</v>
      </c>
      <c r="K353" s="4">
        <f>INDEX(products!$A$1:$G$49, MATCH(orders!$D353,products!$A$1:$A$49,0), MATCH(K$1,products!$A$1:$G$1,0))</f>
        <v>1</v>
      </c>
      <c r="L353" s="5">
        <f>INDEX(products!$A$1:$G$49, MATCH(orders!$D353,products!$A$1:$A$49,0), MATCH(L$1,products!$A$1:$G$1,0))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 = 0, "", _xlfn.XLOOKUP(C354,customers!$A$1:$A$1001,customers!$C$1:$C$1001,,0))</f>
        <v/>
      </c>
      <c r="H354" s="2" t="str">
        <f>_xlfn.XLOOKUP(C354,customers!$A$1:$A$1001,customers!$G$1:$G$1001,,0)</f>
        <v>United States</v>
      </c>
      <c r="I354" t="str">
        <f>INDEX(products!$A$1:$G$49, MATCH(orders!$D354,products!$A$1:$A$49,0), MATCH(I$1,products!$A$1:$G$1,0))</f>
        <v>Exc</v>
      </c>
      <c r="J354" t="str">
        <f>INDEX(products!$A$1:$G$49, MATCH(orders!$D354,products!$A$1:$A$49,0), MATCH(J$1,products!$A$1:$G$1,0))</f>
        <v>D</v>
      </c>
      <c r="K354" s="4">
        <f>INDEX(products!$A$1:$G$49, MATCH(orders!$D354,products!$A$1:$A$49,0), MATCH(K$1,products!$A$1:$G$1,0))</f>
        <v>0.5</v>
      </c>
      <c r="L354" s="5">
        <f>INDEX(products!$A$1:$G$49, MATCH(orders!$D354,products!$A$1:$A$49,0), MATCH(L$1,products!$A$1:$G$1,0))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 = 0, "", _xlfn.XLOOKUP(C355,customers!$A$1:$A$1001,customers!$C$1:$C$1001,,0))</f>
        <v/>
      </c>
      <c r="H355" s="2" t="str">
        <f>_xlfn.XLOOKUP(C355,customers!$A$1:$A$1001,customers!$G$1:$G$1001,,0)</f>
        <v>United States</v>
      </c>
      <c r="I355" t="str">
        <f>INDEX(products!$A$1:$G$49, MATCH(orders!$D355,products!$A$1:$A$49,0), MATCH(I$1,products!$A$1:$G$1,0))</f>
        <v>Ara</v>
      </c>
      <c r="J355" t="str">
        <f>INDEX(products!$A$1:$G$49, MATCH(orders!$D355,products!$A$1:$A$49,0), MATCH(J$1,products!$A$1:$G$1,0))</f>
        <v>M</v>
      </c>
      <c r="K355" s="4">
        <f>INDEX(products!$A$1:$G$49, MATCH(orders!$D355,products!$A$1:$A$49,0), MATCH(K$1,products!$A$1:$G$1,0))</f>
        <v>0.5</v>
      </c>
      <c r="L355" s="5">
        <f>INDEX(products!$A$1:$G$49, MATCH(orders!$D355,products!$A$1:$A$49,0), MATCH(L$1,products!$A$1:$G$1,0))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 = 0, "", _xlfn.XLOOKUP(C356,customers!$A$1:$A$1001,customers!$C$1:$C$1001,,0))</f>
        <v>jcaldicott9u@usda.gov</v>
      </c>
      <c r="H356" s="2" t="str">
        <f>_xlfn.XLOOKUP(C356,customers!$A$1:$A$1001,customers!$G$1:$G$1001,,0)</f>
        <v>United States</v>
      </c>
      <c r="I356" t="str">
        <f>INDEX(products!$A$1:$G$49, MATCH(orders!$D356,products!$A$1:$A$49,0), MATCH(I$1,products!$A$1:$G$1,0))</f>
        <v>Ara</v>
      </c>
      <c r="J356" t="str">
        <f>INDEX(products!$A$1:$G$49, MATCH(orders!$D356,products!$A$1:$A$49,0), MATCH(J$1,products!$A$1:$G$1,0))</f>
        <v>M</v>
      </c>
      <c r="K356" s="4">
        <f>INDEX(products!$A$1:$G$49, MATCH(orders!$D356,products!$A$1:$A$49,0), MATCH(K$1,products!$A$1:$G$1,0))</f>
        <v>2.5</v>
      </c>
      <c r="L356" s="5">
        <f>INDEX(products!$A$1:$G$49, MATCH(orders!$D356,products!$A$1:$A$49,0), MATCH(L$1,products!$A$1:$G$1,0))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 = 0, "", _xlfn.XLOOKUP(C357,customers!$A$1:$A$1001,customers!$C$1:$C$1001,,0))</f>
        <v>mvedmore9v@a8.net</v>
      </c>
      <c r="H357" s="2" t="str">
        <f>_xlfn.XLOOKUP(C357,customers!$A$1:$A$1001,customers!$G$1:$G$1001,,0)</f>
        <v>United States</v>
      </c>
      <c r="I357" t="str">
        <f>INDEX(products!$A$1:$G$49, MATCH(orders!$D357,products!$A$1:$A$49,0), MATCH(I$1,products!$A$1:$G$1,0))</f>
        <v>Ara</v>
      </c>
      <c r="J357" t="str">
        <f>INDEX(products!$A$1:$G$49, MATCH(orders!$D357,products!$A$1:$A$49,0), MATCH(J$1,products!$A$1:$G$1,0))</f>
        <v>D</v>
      </c>
      <c r="K357" s="4">
        <f>INDEX(products!$A$1:$G$49, MATCH(orders!$D357,products!$A$1:$A$49,0), MATCH(K$1,products!$A$1:$G$1,0))</f>
        <v>2.5</v>
      </c>
      <c r="L357" s="5">
        <f>INDEX(products!$A$1:$G$49, MATCH(orders!$D357,products!$A$1:$A$49,0), MATCH(L$1,products!$A$1:$G$1,0))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 = 0, "", _xlfn.XLOOKUP(C358,customers!$A$1:$A$1001,customers!$C$1:$C$1001,,0))</f>
        <v>wromao9w@chronoengine.com</v>
      </c>
      <c r="H358" s="2" t="str">
        <f>_xlfn.XLOOKUP(C358,customers!$A$1:$A$1001,customers!$G$1:$G$1001,,0)</f>
        <v>United States</v>
      </c>
      <c r="I358" t="str">
        <f>INDEX(products!$A$1:$G$49, MATCH(orders!$D358,products!$A$1:$A$49,0), MATCH(I$1,products!$A$1:$G$1,0))</f>
        <v>Lib</v>
      </c>
      <c r="J358" t="str">
        <f>INDEX(products!$A$1:$G$49, MATCH(orders!$D358,products!$A$1:$A$49,0), MATCH(J$1,products!$A$1:$G$1,0))</f>
        <v>D</v>
      </c>
      <c r="K358" s="4">
        <f>INDEX(products!$A$1:$G$49, MATCH(orders!$D358,products!$A$1:$A$49,0), MATCH(K$1,products!$A$1:$G$1,0))</f>
        <v>1</v>
      </c>
      <c r="L358" s="5">
        <f>INDEX(products!$A$1:$G$49, MATCH(orders!$D358,products!$A$1:$A$49,0), MATCH(L$1,products!$A$1:$G$1,0))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 = 0, "", _xlfn.XLOOKUP(C359,customers!$A$1:$A$1001,customers!$C$1:$C$1001,,0))</f>
        <v/>
      </c>
      <c r="H359" s="2" t="str">
        <f>_xlfn.XLOOKUP(C359,customers!$A$1:$A$1001,customers!$G$1:$G$1001,,0)</f>
        <v>United States</v>
      </c>
      <c r="I359" t="str">
        <f>INDEX(products!$A$1:$G$49, MATCH(orders!$D359,products!$A$1:$A$49,0), MATCH(I$1,products!$A$1:$G$1,0))</f>
        <v>Ara</v>
      </c>
      <c r="J359" t="str">
        <f>INDEX(products!$A$1:$G$49, MATCH(orders!$D359,products!$A$1:$A$49,0), MATCH(J$1,products!$A$1:$G$1,0))</f>
        <v>M</v>
      </c>
      <c r="K359" s="4">
        <f>INDEX(products!$A$1:$G$49, MATCH(orders!$D359,products!$A$1:$A$49,0), MATCH(K$1,products!$A$1:$G$1,0))</f>
        <v>2.5</v>
      </c>
      <c r="L359" s="5">
        <f>INDEX(products!$A$1:$G$49, MATCH(orders!$D359,products!$A$1:$A$49,0), MATCH(L$1,products!$A$1:$G$1,0))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 = 0, "", _xlfn.XLOOKUP(C360,customers!$A$1:$A$1001,customers!$C$1:$C$1001,,0))</f>
        <v>tcotmore9y@amazonaws.com</v>
      </c>
      <c r="H360" s="2" t="str">
        <f>_xlfn.XLOOKUP(C360,customers!$A$1:$A$1001,customers!$G$1:$G$1001,,0)</f>
        <v>United States</v>
      </c>
      <c r="I360" t="str">
        <f>INDEX(products!$A$1:$G$49, MATCH(orders!$D360,products!$A$1:$A$49,0), MATCH(I$1,products!$A$1:$G$1,0))</f>
        <v>Ara</v>
      </c>
      <c r="J360" t="str">
        <f>INDEX(products!$A$1:$G$49, MATCH(orders!$D360,products!$A$1:$A$49,0), MATCH(J$1,products!$A$1:$G$1,0))</f>
        <v>L</v>
      </c>
      <c r="K360" s="4">
        <f>INDEX(products!$A$1:$G$49, MATCH(orders!$D360,products!$A$1:$A$49,0), MATCH(K$1,products!$A$1:$G$1,0))</f>
        <v>2.5</v>
      </c>
      <c r="L360" s="5">
        <f>INDEX(products!$A$1:$G$49, MATCH(orders!$D360,products!$A$1:$A$49,0), MATCH(L$1,products!$A$1:$G$1,0))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 = 0, "", _xlfn.XLOOKUP(C361,customers!$A$1:$A$1001,customers!$C$1:$C$1001,,0))</f>
        <v>yskipsey9z@spotify.com</v>
      </c>
      <c r="H361" s="2" t="str">
        <f>_xlfn.XLOOKUP(C361,customers!$A$1:$A$1001,customers!$G$1:$G$1001,,0)</f>
        <v>United Kingdom</v>
      </c>
      <c r="I361" t="str">
        <f>INDEX(products!$A$1:$G$49, MATCH(orders!$D361,products!$A$1:$A$49,0), MATCH(I$1,products!$A$1:$G$1,0))</f>
        <v>Rob</v>
      </c>
      <c r="J361" t="str">
        <f>INDEX(products!$A$1:$G$49, MATCH(orders!$D361,products!$A$1:$A$49,0), MATCH(J$1,products!$A$1:$G$1,0))</f>
        <v>L</v>
      </c>
      <c r="K361" s="4">
        <f>INDEX(products!$A$1:$G$49, MATCH(orders!$D361,products!$A$1:$A$49,0), MATCH(K$1,products!$A$1:$G$1,0))</f>
        <v>0.2</v>
      </c>
      <c r="L361" s="5">
        <f>INDEX(products!$A$1:$G$49, MATCH(orders!$D361,products!$A$1:$A$49,0), MATCH(L$1,products!$A$1:$G$1,0))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 = 0, "", _xlfn.XLOOKUP(C362,customers!$A$1:$A$1001,customers!$C$1:$C$1001,,0))</f>
        <v>ncorpsa0@gmpg.org</v>
      </c>
      <c r="H362" s="2" t="str">
        <f>_xlfn.XLOOKUP(C362,customers!$A$1:$A$1001,customers!$G$1:$G$1001,,0)</f>
        <v>United States</v>
      </c>
      <c r="I362" t="str">
        <f>INDEX(products!$A$1:$G$49, MATCH(orders!$D362,products!$A$1:$A$49,0), MATCH(I$1,products!$A$1:$G$1,0))</f>
        <v>Rob</v>
      </c>
      <c r="J362" t="str">
        <f>INDEX(products!$A$1:$G$49, MATCH(orders!$D362,products!$A$1:$A$49,0), MATCH(J$1,products!$A$1:$G$1,0))</f>
        <v>D</v>
      </c>
      <c r="K362" s="4">
        <f>INDEX(products!$A$1:$G$49, MATCH(orders!$D362,products!$A$1:$A$49,0), MATCH(K$1,products!$A$1:$G$1,0))</f>
        <v>2.5</v>
      </c>
      <c r="L362" s="5">
        <f>INDEX(products!$A$1:$G$49, MATCH(orders!$D362,products!$A$1:$A$49,0), MATCH(L$1,products!$A$1:$G$1,0))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 = 0, "", _xlfn.XLOOKUP(C363,customers!$A$1:$A$1001,customers!$C$1:$C$1001,,0))</f>
        <v>ncorpsa0@gmpg.org</v>
      </c>
      <c r="H363" s="2" t="str">
        <f>_xlfn.XLOOKUP(C363,customers!$A$1:$A$1001,customers!$G$1:$G$1001,,0)</f>
        <v>United States</v>
      </c>
      <c r="I363" t="str">
        <f>INDEX(products!$A$1:$G$49, MATCH(orders!$D363,products!$A$1:$A$49,0), MATCH(I$1,products!$A$1:$G$1,0))</f>
        <v>Rob</v>
      </c>
      <c r="J363" t="str">
        <f>INDEX(products!$A$1:$G$49, MATCH(orders!$D363,products!$A$1:$A$49,0), MATCH(J$1,products!$A$1:$G$1,0))</f>
        <v>M</v>
      </c>
      <c r="K363" s="4">
        <f>INDEX(products!$A$1:$G$49, MATCH(orders!$D363,products!$A$1:$A$49,0), MATCH(K$1,products!$A$1:$G$1,0))</f>
        <v>0.5</v>
      </c>
      <c r="L363" s="5">
        <f>INDEX(products!$A$1:$G$49, MATCH(orders!$D363,products!$A$1:$A$49,0), MATCH(L$1,products!$A$1:$G$1,0))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 = 0, "", _xlfn.XLOOKUP(C364,customers!$A$1:$A$1001,customers!$C$1:$C$1001,,0))</f>
        <v>fbabbera2@stanford.edu</v>
      </c>
      <c r="H364" s="2" t="str">
        <f>_xlfn.XLOOKUP(C364,customers!$A$1:$A$1001,customers!$G$1:$G$1001,,0)</f>
        <v>United States</v>
      </c>
      <c r="I364" t="str">
        <f>INDEX(products!$A$1:$G$49, MATCH(orders!$D364,products!$A$1:$A$49,0), MATCH(I$1,products!$A$1:$G$1,0))</f>
        <v>Exc</v>
      </c>
      <c r="J364" t="str">
        <f>INDEX(products!$A$1:$G$49, MATCH(orders!$D364,products!$A$1:$A$49,0), MATCH(J$1,products!$A$1:$G$1,0))</f>
        <v>L</v>
      </c>
      <c r="K364" s="4">
        <f>INDEX(products!$A$1:$G$49, MATCH(orders!$D364,products!$A$1:$A$49,0), MATCH(K$1,products!$A$1:$G$1,0))</f>
        <v>1</v>
      </c>
      <c r="L364" s="5">
        <f>INDEX(products!$A$1:$G$49, MATCH(orders!$D364,products!$A$1:$A$49,0), MATCH(L$1,products!$A$1:$G$1,0))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 = 0, "", _xlfn.XLOOKUP(C365,customers!$A$1:$A$1001,customers!$C$1:$C$1001,,0))</f>
        <v>kloxtona3@opensource.org</v>
      </c>
      <c r="H365" s="2" t="str">
        <f>_xlfn.XLOOKUP(C365,customers!$A$1:$A$1001,customers!$G$1:$G$1001,,0)</f>
        <v>United States</v>
      </c>
      <c r="I365" t="str">
        <f>INDEX(products!$A$1:$G$49, MATCH(orders!$D365,products!$A$1:$A$49,0), MATCH(I$1,products!$A$1:$G$1,0))</f>
        <v>Lib</v>
      </c>
      <c r="J365" t="str">
        <f>INDEX(products!$A$1:$G$49, MATCH(orders!$D365,products!$A$1:$A$49,0), MATCH(J$1,products!$A$1:$G$1,0))</f>
        <v>M</v>
      </c>
      <c r="K365" s="4">
        <f>INDEX(products!$A$1:$G$49, MATCH(orders!$D365,products!$A$1:$A$49,0), MATCH(K$1,products!$A$1:$G$1,0))</f>
        <v>1</v>
      </c>
      <c r="L365" s="5">
        <f>INDEX(products!$A$1:$G$49, MATCH(orders!$D365,products!$A$1:$A$49,0), MATCH(L$1,products!$A$1:$G$1,0))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 = 0, "", _xlfn.XLOOKUP(C366,customers!$A$1:$A$1001,customers!$C$1:$C$1001,,0))</f>
        <v>ptoffula4@posterous.com</v>
      </c>
      <c r="H366" s="2" t="str">
        <f>_xlfn.XLOOKUP(C366,customers!$A$1:$A$1001,customers!$G$1:$G$1001,,0)</f>
        <v>United States</v>
      </c>
      <c r="I366" t="str">
        <f>INDEX(products!$A$1:$G$49, MATCH(orders!$D366,products!$A$1:$A$49,0), MATCH(I$1,products!$A$1:$G$1,0))</f>
        <v>Exc</v>
      </c>
      <c r="J366" t="str">
        <f>INDEX(products!$A$1:$G$49, MATCH(orders!$D366,products!$A$1:$A$49,0), MATCH(J$1,products!$A$1:$G$1,0))</f>
        <v>D</v>
      </c>
      <c r="K366" s="4">
        <f>INDEX(products!$A$1:$G$49, MATCH(orders!$D366,products!$A$1:$A$49,0), MATCH(K$1,products!$A$1:$G$1,0))</f>
        <v>1</v>
      </c>
      <c r="L366" s="5">
        <f>INDEX(products!$A$1:$G$49, MATCH(orders!$D366,products!$A$1:$A$49,0), MATCH(L$1,products!$A$1:$G$1,0))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 = 0, "", _xlfn.XLOOKUP(C367,customers!$A$1:$A$1001,customers!$C$1:$C$1001,,0))</f>
        <v>cgwinnetta5@behance.net</v>
      </c>
      <c r="H367" s="2" t="str">
        <f>_xlfn.XLOOKUP(C367,customers!$A$1:$A$1001,customers!$G$1:$G$1001,,0)</f>
        <v>United States</v>
      </c>
      <c r="I367" t="str">
        <f>INDEX(products!$A$1:$G$49, MATCH(orders!$D367,products!$A$1:$A$49,0), MATCH(I$1,products!$A$1:$G$1,0))</f>
        <v>Lib</v>
      </c>
      <c r="J367" t="str">
        <f>INDEX(products!$A$1:$G$49, MATCH(orders!$D367,products!$A$1:$A$49,0), MATCH(J$1,products!$A$1:$G$1,0))</f>
        <v>D</v>
      </c>
      <c r="K367" s="4">
        <f>INDEX(products!$A$1:$G$49, MATCH(orders!$D367,products!$A$1:$A$49,0), MATCH(K$1,products!$A$1:$G$1,0))</f>
        <v>0.5</v>
      </c>
      <c r="L367" s="5">
        <f>INDEX(products!$A$1:$G$49, MATCH(orders!$D367,products!$A$1:$A$49,0), MATCH(L$1,products!$A$1:$G$1,0))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 = 0, "", _xlfn.XLOOKUP(C368,customers!$A$1:$A$1001,customers!$C$1:$C$1001,,0))</f>
        <v/>
      </c>
      <c r="H368" s="2" t="str">
        <f>_xlfn.XLOOKUP(C368,customers!$A$1:$A$1001,customers!$G$1:$G$1001,,0)</f>
        <v>United States</v>
      </c>
      <c r="I368" t="str">
        <f>INDEX(products!$A$1:$G$49, MATCH(orders!$D368,products!$A$1:$A$49,0), MATCH(I$1,products!$A$1:$G$1,0))</f>
        <v>Exc</v>
      </c>
      <c r="J368" t="str">
        <f>INDEX(products!$A$1:$G$49, MATCH(orders!$D368,products!$A$1:$A$49,0), MATCH(J$1,products!$A$1:$G$1,0))</f>
        <v>D</v>
      </c>
      <c r="K368" s="4">
        <f>INDEX(products!$A$1:$G$49, MATCH(orders!$D368,products!$A$1:$A$49,0), MATCH(K$1,products!$A$1:$G$1,0))</f>
        <v>0.5</v>
      </c>
      <c r="L368" s="5">
        <f>INDEX(products!$A$1:$G$49, MATCH(orders!$D368,products!$A$1:$A$49,0), MATCH(L$1,products!$A$1:$G$1,0))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 = 0, "", _xlfn.XLOOKUP(C369,customers!$A$1:$A$1001,customers!$C$1:$C$1001,,0))</f>
        <v/>
      </c>
      <c r="H369" s="2" t="str">
        <f>_xlfn.XLOOKUP(C369,customers!$A$1:$A$1001,customers!$G$1:$G$1001,,0)</f>
        <v>United States</v>
      </c>
      <c r="I369" t="str">
        <f>INDEX(products!$A$1:$G$49, MATCH(orders!$D369,products!$A$1:$A$49,0), MATCH(I$1,products!$A$1:$G$1,0))</f>
        <v>Lib</v>
      </c>
      <c r="J369" t="str">
        <f>INDEX(products!$A$1:$G$49, MATCH(orders!$D369,products!$A$1:$A$49,0), MATCH(J$1,products!$A$1:$G$1,0))</f>
        <v>M</v>
      </c>
      <c r="K369" s="4">
        <f>INDEX(products!$A$1:$G$49, MATCH(orders!$D369,products!$A$1:$A$49,0), MATCH(K$1,products!$A$1:$G$1,0))</f>
        <v>0.2</v>
      </c>
      <c r="L369" s="5">
        <f>INDEX(products!$A$1:$G$49, MATCH(orders!$D369,products!$A$1:$A$49,0), MATCH(L$1,products!$A$1:$G$1,0))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 = 0, "", _xlfn.XLOOKUP(C370,customers!$A$1:$A$1001,customers!$C$1:$C$1001,,0))</f>
        <v>lflaoniera8@wordpress.org</v>
      </c>
      <c r="H370" s="2" t="str">
        <f>_xlfn.XLOOKUP(C370,customers!$A$1:$A$1001,customers!$G$1:$G$1001,,0)</f>
        <v>United States</v>
      </c>
      <c r="I370" t="str">
        <f>INDEX(products!$A$1:$G$49, MATCH(orders!$D370,products!$A$1:$A$49,0), MATCH(I$1,products!$A$1:$G$1,0))</f>
        <v>Exc</v>
      </c>
      <c r="J370" t="str">
        <f>INDEX(products!$A$1:$G$49, MATCH(orders!$D370,products!$A$1:$A$49,0), MATCH(J$1,products!$A$1:$G$1,0))</f>
        <v>M</v>
      </c>
      <c r="K370" s="4">
        <f>INDEX(products!$A$1:$G$49, MATCH(orders!$D370,products!$A$1:$A$49,0), MATCH(K$1,products!$A$1:$G$1,0))</f>
        <v>2.5</v>
      </c>
      <c r="L370" s="5">
        <f>INDEX(products!$A$1:$G$49, MATCH(orders!$D370,products!$A$1:$A$49,0), MATCH(L$1,products!$A$1:$G$1,0))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 = 0, "", _xlfn.XLOOKUP(C371,customers!$A$1:$A$1001,customers!$C$1:$C$1001,,0))</f>
        <v/>
      </c>
      <c r="H371" s="2" t="str">
        <f>_xlfn.XLOOKUP(C371,customers!$A$1:$A$1001,customers!$G$1:$G$1001,,0)</f>
        <v>United States</v>
      </c>
      <c r="I371" t="str">
        <f>INDEX(products!$A$1:$G$49, MATCH(orders!$D371,products!$A$1:$A$49,0), MATCH(I$1,products!$A$1:$G$1,0))</f>
        <v>Exc</v>
      </c>
      <c r="J371" t="str">
        <f>INDEX(products!$A$1:$G$49, MATCH(orders!$D371,products!$A$1:$A$49,0), MATCH(J$1,products!$A$1:$G$1,0))</f>
        <v>L</v>
      </c>
      <c r="K371" s="4">
        <f>INDEX(products!$A$1:$G$49, MATCH(orders!$D371,products!$A$1:$A$49,0), MATCH(K$1,products!$A$1:$G$1,0))</f>
        <v>0.5</v>
      </c>
      <c r="L371" s="5">
        <f>INDEX(products!$A$1:$G$49, MATCH(orders!$D371,products!$A$1:$A$49,0), MATCH(L$1,products!$A$1:$G$1,0))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 = 0, "", _xlfn.XLOOKUP(C372,customers!$A$1:$A$1001,customers!$C$1:$C$1001,,0))</f>
        <v>ccatchesideaa@macromedia.com</v>
      </c>
      <c r="H372" s="2" t="str">
        <f>_xlfn.XLOOKUP(C372,customers!$A$1:$A$1001,customers!$G$1:$G$1001,,0)</f>
        <v>United States</v>
      </c>
      <c r="I372" t="str">
        <f>INDEX(products!$A$1:$G$49, MATCH(orders!$D372,products!$A$1:$A$49,0), MATCH(I$1,products!$A$1:$G$1,0))</f>
        <v>Exc</v>
      </c>
      <c r="J372" t="str">
        <f>INDEX(products!$A$1:$G$49, MATCH(orders!$D372,products!$A$1:$A$49,0), MATCH(J$1,products!$A$1:$G$1,0))</f>
        <v>D</v>
      </c>
      <c r="K372" s="4">
        <f>INDEX(products!$A$1:$G$49, MATCH(orders!$D372,products!$A$1:$A$49,0), MATCH(K$1,products!$A$1:$G$1,0))</f>
        <v>1</v>
      </c>
      <c r="L372" s="5">
        <f>INDEX(products!$A$1:$G$49, MATCH(orders!$D372,products!$A$1:$A$49,0), MATCH(L$1,products!$A$1:$G$1,0))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 = 0, "", _xlfn.XLOOKUP(C373,customers!$A$1:$A$1001,customers!$C$1:$C$1001,,0))</f>
        <v>cgibbonsonab@accuweather.com</v>
      </c>
      <c r="H373" s="2" t="str">
        <f>_xlfn.XLOOKUP(C373,customers!$A$1:$A$1001,customers!$G$1:$G$1001,,0)</f>
        <v>United States</v>
      </c>
      <c r="I373" t="str">
        <f>INDEX(products!$A$1:$G$49, MATCH(orders!$D373,products!$A$1:$A$49,0), MATCH(I$1,products!$A$1:$G$1,0))</f>
        <v>Ara</v>
      </c>
      <c r="J373" t="str">
        <f>INDEX(products!$A$1:$G$49, MATCH(orders!$D373,products!$A$1:$A$49,0), MATCH(J$1,products!$A$1:$G$1,0))</f>
        <v>L</v>
      </c>
      <c r="K373" s="4">
        <f>INDEX(products!$A$1:$G$49, MATCH(orders!$D373,products!$A$1:$A$49,0), MATCH(K$1,products!$A$1:$G$1,0))</f>
        <v>0.5</v>
      </c>
      <c r="L373" s="5">
        <f>INDEX(products!$A$1:$G$49, MATCH(orders!$D373,products!$A$1:$A$49,0), MATCH(L$1,products!$A$1:$G$1,0))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 = 0, "", _xlfn.XLOOKUP(C374,customers!$A$1:$A$1001,customers!$C$1:$C$1001,,0))</f>
        <v>tfarraac@behance.net</v>
      </c>
      <c r="H374" s="2" t="str">
        <f>_xlfn.XLOOKUP(C374,customers!$A$1:$A$1001,customers!$G$1:$G$1001,,0)</f>
        <v>United States</v>
      </c>
      <c r="I374" t="str">
        <f>INDEX(products!$A$1:$G$49, MATCH(orders!$D374,products!$A$1:$A$49,0), MATCH(I$1,products!$A$1:$G$1,0))</f>
        <v>Rob</v>
      </c>
      <c r="J374" t="str">
        <f>INDEX(products!$A$1:$G$49, MATCH(orders!$D374,products!$A$1:$A$49,0), MATCH(J$1,products!$A$1:$G$1,0))</f>
        <v>L</v>
      </c>
      <c r="K374" s="4">
        <f>INDEX(products!$A$1:$G$49, MATCH(orders!$D374,products!$A$1:$A$49,0), MATCH(K$1,products!$A$1:$G$1,0))</f>
        <v>0.5</v>
      </c>
      <c r="L374" s="5">
        <f>INDEX(products!$A$1:$G$49, MATCH(orders!$D374,products!$A$1:$A$49,0), MATCH(L$1,products!$A$1:$G$1,0))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 = 0, "", _xlfn.XLOOKUP(C375,customers!$A$1:$A$1001,customers!$C$1:$C$1001,,0))</f>
        <v/>
      </c>
      <c r="H375" s="2" t="str">
        <f>_xlfn.XLOOKUP(C375,customers!$A$1:$A$1001,customers!$G$1:$G$1001,,0)</f>
        <v>Ireland</v>
      </c>
      <c r="I375" t="str">
        <f>INDEX(products!$A$1:$G$49, MATCH(orders!$D375,products!$A$1:$A$49,0), MATCH(I$1,products!$A$1:$G$1,0))</f>
        <v>Ara</v>
      </c>
      <c r="J375" t="str">
        <f>INDEX(products!$A$1:$G$49, MATCH(orders!$D375,products!$A$1:$A$49,0), MATCH(J$1,products!$A$1:$G$1,0))</f>
        <v>D</v>
      </c>
      <c r="K375" s="4">
        <f>INDEX(products!$A$1:$G$49, MATCH(orders!$D375,products!$A$1:$A$49,0), MATCH(K$1,products!$A$1:$G$1,0))</f>
        <v>0.5</v>
      </c>
      <c r="L375" s="5">
        <f>INDEX(products!$A$1:$G$49, MATCH(orders!$D375,products!$A$1:$A$49,0), MATCH(L$1,products!$A$1:$G$1,0))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 = 0, "", _xlfn.XLOOKUP(C376,customers!$A$1:$A$1001,customers!$C$1:$C$1001,,0))</f>
        <v>gbamfieldae@yellowpages.com</v>
      </c>
      <c r="H376" s="2" t="str">
        <f>_xlfn.XLOOKUP(C376,customers!$A$1:$A$1001,customers!$G$1:$G$1001,,0)</f>
        <v>United States</v>
      </c>
      <c r="I376" t="str">
        <f>INDEX(products!$A$1:$G$49, MATCH(orders!$D376,products!$A$1:$A$49,0), MATCH(I$1,products!$A$1:$G$1,0))</f>
        <v>Lib</v>
      </c>
      <c r="J376" t="str">
        <f>INDEX(products!$A$1:$G$49, MATCH(orders!$D376,products!$A$1:$A$49,0), MATCH(J$1,products!$A$1:$G$1,0))</f>
        <v>L</v>
      </c>
      <c r="K376" s="4">
        <f>INDEX(products!$A$1:$G$49, MATCH(orders!$D376,products!$A$1:$A$49,0), MATCH(K$1,products!$A$1:$G$1,0))</f>
        <v>0.5</v>
      </c>
      <c r="L376" s="5">
        <f>INDEX(products!$A$1:$G$49, MATCH(orders!$D376,products!$A$1:$A$49,0), MATCH(L$1,products!$A$1:$G$1,0))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 = 0, "", _xlfn.XLOOKUP(C377,customers!$A$1:$A$1001,customers!$C$1:$C$1001,,0))</f>
        <v>whollingdaleaf@about.me</v>
      </c>
      <c r="H377" s="2" t="str">
        <f>_xlfn.XLOOKUP(C377,customers!$A$1:$A$1001,customers!$G$1:$G$1001,,0)</f>
        <v>United States</v>
      </c>
      <c r="I377" t="str">
        <f>INDEX(products!$A$1:$G$49, MATCH(orders!$D377,products!$A$1:$A$49,0), MATCH(I$1,products!$A$1:$G$1,0))</f>
        <v>Ara</v>
      </c>
      <c r="J377" t="str">
        <f>INDEX(products!$A$1:$G$49, MATCH(orders!$D377,products!$A$1:$A$49,0), MATCH(J$1,products!$A$1:$G$1,0))</f>
        <v>M</v>
      </c>
      <c r="K377" s="4">
        <f>INDEX(products!$A$1:$G$49, MATCH(orders!$D377,products!$A$1:$A$49,0), MATCH(K$1,products!$A$1:$G$1,0))</f>
        <v>0.2</v>
      </c>
      <c r="L377" s="5">
        <f>INDEX(products!$A$1:$G$49, MATCH(orders!$D377,products!$A$1:$A$49,0), MATCH(L$1,products!$A$1:$G$1,0))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 = 0, "", _xlfn.XLOOKUP(C378,customers!$A$1:$A$1001,customers!$C$1:$C$1001,,0))</f>
        <v>jdeag@xrea.com</v>
      </c>
      <c r="H378" s="2" t="str">
        <f>_xlfn.XLOOKUP(C378,customers!$A$1:$A$1001,customers!$G$1:$G$1001,,0)</f>
        <v>United States</v>
      </c>
      <c r="I378" t="str">
        <f>INDEX(products!$A$1:$G$49, MATCH(orders!$D378,products!$A$1:$A$49,0), MATCH(I$1,products!$A$1:$G$1,0))</f>
        <v>Rob</v>
      </c>
      <c r="J378" t="str">
        <f>INDEX(products!$A$1:$G$49, MATCH(orders!$D378,products!$A$1:$A$49,0), MATCH(J$1,products!$A$1:$G$1,0))</f>
        <v>M</v>
      </c>
      <c r="K378" s="4">
        <f>INDEX(products!$A$1:$G$49, MATCH(orders!$D378,products!$A$1:$A$49,0), MATCH(K$1,products!$A$1:$G$1,0))</f>
        <v>0.5</v>
      </c>
      <c r="L378" s="5">
        <f>INDEX(products!$A$1:$G$49, MATCH(orders!$D378,products!$A$1:$A$49,0), MATCH(L$1,products!$A$1:$G$1,0))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 = 0, "", _xlfn.XLOOKUP(C379,customers!$A$1:$A$1001,customers!$C$1:$C$1001,,0))</f>
        <v>vskulletah@tinyurl.com</v>
      </c>
      <c r="H379" s="2" t="str">
        <f>_xlfn.XLOOKUP(C379,customers!$A$1:$A$1001,customers!$G$1:$G$1001,,0)</f>
        <v>Ireland</v>
      </c>
      <c r="I379" t="str">
        <f>INDEX(products!$A$1:$G$49, MATCH(orders!$D379,products!$A$1:$A$49,0), MATCH(I$1,products!$A$1:$G$1,0))</f>
        <v>Rob</v>
      </c>
      <c r="J379" t="str">
        <f>INDEX(products!$A$1:$G$49, MATCH(orders!$D379,products!$A$1:$A$49,0), MATCH(J$1,products!$A$1:$G$1,0))</f>
        <v>D</v>
      </c>
      <c r="K379" s="4">
        <f>INDEX(products!$A$1:$G$49, MATCH(orders!$D379,products!$A$1:$A$49,0), MATCH(K$1,products!$A$1:$G$1,0))</f>
        <v>0.2</v>
      </c>
      <c r="L379" s="5">
        <f>INDEX(products!$A$1:$G$49, MATCH(orders!$D379,products!$A$1:$A$49,0), MATCH(L$1,products!$A$1:$G$1,0))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 = 0, "", _xlfn.XLOOKUP(C380,customers!$A$1:$A$1001,customers!$C$1:$C$1001,,0))</f>
        <v>jrudeforthai@wunderground.com</v>
      </c>
      <c r="H380" s="2" t="str">
        <f>_xlfn.XLOOKUP(C380,customers!$A$1:$A$1001,customers!$G$1:$G$1001,,0)</f>
        <v>Ireland</v>
      </c>
      <c r="I380" t="str">
        <f>INDEX(products!$A$1:$G$49, MATCH(orders!$D380,products!$A$1:$A$49,0), MATCH(I$1,products!$A$1:$G$1,0))</f>
        <v>Ara</v>
      </c>
      <c r="J380" t="str">
        <f>INDEX(products!$A$1:$G$49, MATCH(orders!$D380,products!$A$1:$A$49,0), MATCH(J$1,products!$A$1:$G$1,0))</f>
        <v>L</v>
      </c>
      <c r="K380" s="4">
        <f>INDEX(products!$A$1:$G$49, MATCH(orders!$D380,products!$A$1:$A$49,0), MATCH(K$1,products!$A$1:$G$1,0))</f>
        <v>0.5</v>
      </c>
      <c r="L380" s="5">
        <f>INDEX(products!$A$1:$G$49, MATCH(orders!$D380,products!$A$1:$A$49,0), MATCH(L$1,products!$A$1:$G$1,0))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 = 0, "", _xlfn.XLOOKUP(C381,customers!$A$1:$A$1001,customers!$C$1:$C$1001,,0))</f>
        <v>atomaszewskiaj@answers.com</v>
      </c>
      <c r="H381" s="2" t="str">
        <f>_xlfn.XLOOKUP(C381,customers!$A$1:$A$1001,customers!$G$1:$G$1001,,0)</f>
        <v>United Kingdom</v>
      </c>
      <c r="I381" t="str">
        <f>INDEX(products!$A$1:$G$49, MATCH(orders!$D381,products!$A$1:$A$49,0), MATCH(I$1,products!$A$1:$G$1,0))</f>
        <v>Rob</v>
      </c>
      <c r="J381" t="str">
        <f>INDEX(products!$A$1:$G$49, MATCH(orders!$D381,products!$A$1:$A$49,0), MATCH(J$1,products!$A$1:$G$1,0))</f>
        <v>L</v>
      </c>
      <c r="K381" s="4">
        <f>INDEX(products!$A$1:$G$49, MATCH(orders!$D381,products!$A$1:$A$49,0), MATCH(K$1,products!$A$1:$G$1,0))</f>
        <v>0.5</v>
      </c>
      <c r="L381" s="5">
        <f>INDEX(products!$A$1:$G$49, MATCH(orders!$D381,products!$A$1:$A$49,0), MATCH(L$1,products!$A$1:$G$1,0))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 = 0, "", _xlfn.XLOOKUP(C382,customers!$A$1:$A$1001,customers!$C$1:$C$1001,,0))</f>
        <v/>
      </c>
      <c r="H382" s="2" t="str">
        <f>_xlfn.XLOOKUP(C382,customers!$A$1:$A$1001,customers!$G$1:$G$1001,,0)</f>
        <v>United States</v>
      </c>
      <c r="I382" t="str">
        <f>INDEX(products!$A$1:$G$49, MATCH(orders!$D382,products!$A$1:$A$49,0), MATCH(I$1,products!$A$1:$G$1,0))</f>
        <v>Lib</v>
      </c>
      <c r="J382" t="str">
        <f>INDEX(products!$A$1:$G$49, MATCH(orders!$D382,products!$A$1:$A$49,0), MATCH(J$1,products!$A$1:$G$1,0))</f>
        <v>D</v>
      </c>
      <c r="K382" s="4">
        <f>INDEX(products!$A$1:$G$49, MATCH(orders!$D382,products!$A$1:$A$49,0), MATCH(K$1,products!$A$1:$G$1,0))</f>
        <v>0.5</v>
      </c>
      <c r="L382" s="5">
        <f>INDEX(products!$A$1:$G$49, MATCH(orders!$D382,products!$A$1:$A$49,0), MATCH(L$1,products!$A$1:$G$1,0))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 = 0, "", _xlfn.XLOOKUP(C383,customers!$A$1:$A$1001,customers!$C$1:$C$1001,,0))</f>
        <v>pbessal@qq.com</v>
      </c>
      <c r="H383" s="2" t="str">
        <f>_xlfn.XLOOKUP(C383,customers!$A$1:$A$1001,customers!$G$1:$G$1001,,0)</f>
        <v>United States</v>
      </c>
      <c r="I383" t="str">
        <f>INDEX(products!$A$1:$G$49, MATCH(orders!$D383,products!$A$1:$A$49,0), MATCH(I$1,products!$A$1:$G$1,0))</f>
        <v>Ara</v>
      </c>
      <c r="J383" t="str">
        <f>INDEX(products!$A$1:$G$49, MATCH(orders!$D383,products!$A$1:$A$49,0), MATCH(J$1,products!$A$1:$G$1,0))</f>
        <v>D</v>
      </c>
      <c r="K383" s="4">
        <f>INDEX(products!$A$1:$G$49, MATCH(orders!$D383,products!$A$1:$A$49,0), MATCH(K$1,products!$A$1:$G$1,0))</f>
        <v>0.2</v>
      </c>
      <c r="L383" s="5">
        <f>INDEX(products!$A$1:$G$49, MATCH(orders!$D383,products!$A$1:$A$49,0), MATCH(L$1,products!$A$1:$G$1,0))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 = 0, "", _xlfn.XLOOKUP(C384,customers!$A$1:$A$1001,customers!$C$1:$C$1001,,0))</f>
        <v>ewindressam@marketwatch.com</v>
      </c>
      <c r="H384" s="2" t="str">
        <f>_xlfn.XLOOKUP(C384,customers!$A$1:$A$1001,customers!$G$1:$G$1001,,0)</f>
        <v>United States</v>
      </c>
      <c r="I384" t="str">
        <f>INDEX(products!$A$1:$G$49, MATCH(orders!$D384,products!$A$1:$A$49,0), MATCH(I$1,products!$A$1:$G$1,0))</f>
        <v>Exc</v>
      </c>
      <c r="J384" t="str">
        <f>INDEX(products!$A$1:$G$49, MATCH(orders!$D384,products!$A$1:$A$49,0), MATCH(J$1,products!$A$1:$G$1,0))</f>
        <v>D</v>
      </c>
      <c r="K384" s="4">
        <f>INDEX(products!$A$1:$G$49, MATCH(orders!$D384,products!$A$1:$A$49,0), MATCH(K$1,products!$A$1:$G$1,0))</f>
        <v>0.5</v>
      </c>
      <c r="L384" s="5">
        <f>INDEX(products!$A$1:$G$49, MATCH(orders!$D384,products!$A$1:$A$49,0), MATCH(L$1,products!$A$1:$G$1,0))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 = 0, "", _xlfn.XLOOKUP(C385,customers!$A$1:$A$1001,customers!$C$1:$C$1001,,0))</f>
        <v/>
      </c>
      <c r="H385" s="2" t="str">
        <f>_xlfn.XLOOKUP(C385,customers!$A$1:$A$1001,customers!$G$1:$G$1001,,0)</f>
        <v>United States</v>
      </c>
      <c r="I385" t="str">
        <f>INDEX(products!$A$1:$G$49, MATCH(orders!$D385,products!$A$1:$A$49,0), MATCH(I$1,products!$A$1:$G$1,0))</f>
        <v>Exc</v>
      </c>
      <c r="J385" t="str">
        <f>INDEX(products!$A$1:$G$49, MATCH(orders!$D385,products!$A$1:$A$49,0), MATCH(J$1,products!$A$1:$G$1,0))</f>
        <v>L</v>
      </c>
      <c r="K385" s="4">
        <f>INDEX(products!$A$1:$G$49, MATCH(orders!$D385,products!$A$1:$A$49,0), MATCH(K$1,products!$A$1:$G$1,0))</f>
        <v>0.5</v>
      </c>
      <c r="L385" s="5">
        <f>INDEX(products!$A$1:$G$49, MATCH(orders!$D385,products!$A$1:$A$49,0), MATCH(L$1,products!$A$1:$G$1,0))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 = 0, "", _xlfn.XLOOKUP(C386,customers!$A$1:$A$1001,customers!$C$1:$C$1001,,0))</f>
        <v/>
      </c>
      <c r="H386" s="2" t="str">
        <f>_xlfn.XLOOKUP(C386,customers!$A$1:$A$1001,customers!$G$1:$G$1001,,0)</f>
        <v>United States</v>
      </c>
      <c r="I386" t="str">
        <f>INDEX(products!$A$1:$G$49, MATCH(orders!$D386,products!$A$1:$A$49,0), MATCH(I$1,products!$A$1:$G$1,0))</f>
        <v>Ara</v>
      </c>
      <c r="J386" t="str">
        <f>INDEX(products!$A$1:$G$49, MATCH(orders!$D386,products!$A$1:$A$49,0), MATCH(J$1,products!$A$1:$G$1,0))</f>
        <v>L</v>
      </c>
      <c r="K386" s="4">
        <f>INDEX(products!$A$1:$G$49, MATCH(orders!$D386,products!$A$1:$A$49,0), MATCH(K$1,products!$A$1:$G$1,0))</f>
        <v>2.5</v>
      </c>
      <c r="L386" s="5">
        <f>INDEX(products!$A$1:$G$49, MATCH(orders!$D386,products!$A$1:$A$49,0), MATCH(L$1,products!$A$1:$G$1,0))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 = 0, "", _xlfn.XLOOKUP(C387,customers!$A$1:$A$1001,customers!$C$1:$C$1001,,0))</f>
        <v>vbaumadierap@google.cn</v>
      </c>
      <c r="H387" s="2" t="str">
        <f>_xlfn.XLOOKUP(C387,customers!$A$1:$A$1001,customers!$G$1:$G$1001,,0)</f>
        <v>United States</v>
      </c>
      <c r="I387" t="str">
        <f>INDEX(products!$A$1:$G$49, MATCH(orders!$D387,products!$A$1:$A$49,0), MATCH(I$1,products!$A$1:$G$1,0))</f>
        <v>Lib</v>
      </c>
      <c r="J387" t="str">
        <f>INDEX(products!$A$1:$G$49, MATCH(orders!$D387,products!$A$1:$A$49,0), MATCH(J$1,products!$A$1:$G$1,0))</f>
        <v>M</v>
      </c>
      <c r="K387" s="4">
        <f>INDEX(products!$A$1:$G$49, MATCH(orders!$D387,products!$A$1:$A$49,0), MATCH(K$1,products!$A$1:$G$1,0))</f>
        <v>0.5</v>
      </c>
      <c r="L387" s="5">
        <f>INDEX(products!$A$1:$G$49, MATCH(orders!$D387,products!$A$1:$A$49,0), MATCH(L$1,products!$A$1:$G$1,0))</f>
        <v>8.73</v>
      </c>
      <c r="M387" s="5">
        <f t="shared" ref="M387:M450" si="18">L387*E387</f>
        <v>43.650000000000006</v>
      </c>
      <c r="N387" t="str">
        <f t="shared" ref="N387:N450" si="19">IF(I387="Rob", "Robusta", IF(I387 = "Exc", "Excelsa", IF(I387 = "Ara", "Arabica", IF(I387 = "Lib", "Liberica", ""))))</f>
        <v>Liberica</v>
      </c>
      <c r="O387" t="str">
        <f t="shared" ref="O387:O450" si="20">IF(J387 = "M", "Medium", IF(J387 = "L", "Light", IF( J387 = "D", "Dark", "")))</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 = 0, "", _xlfn.XLOOKUP(C388,customers!$A$1:$A$1001,customers!$C$1:$C$1001,,0))</f>
        <v/>
      </c>
      <c r="H388" s="2" t="str">
        <f>_xlfn.XLOOKUP(C388,customers!$A$1:$A$1001,customers!$G$1:$G$1001,,0)</f>
        <v>United States</v>
      </c>
      <c r="I388" t="str">
        <f>INDEX(products!$A$1:$G$49, MATCH(orders!$D388,products!$A$1:$A$49,0), MATCH(I$1,products!$A$1:$G$1,0))</f>
        <v>Ara</v>
      </c>
      <c r="J388" t="str">
        <f>INDEX(products!$A$1:$G$49, MATCH(orders!$D388,products!$A$1:$A$49,0), MATCH(J$1,products!$A$1:$G$1,0))</f>
        <v>D</v>
      </c>
      <c r="K388" s="4">
        <f>INDEX(products!$A$1:$G$49, MATCH(orders!$D388,products!$A$1:$A$49,0), MATCH(K$1,products!$A$1:$G$1,0))</f>
        <v>0.2</v>
      </c>
      <c r="L388" s="5">
        <f>INDEX(products!$A$1:$G$49, MATCH(orders!$D388,products!$A$1:$A$49,0), MATCH(L$1,products!$A$1:$G$1,0))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 = 0, "", _xlfn.XLOOKUP(C389,customers!$A$1:$A$1001,customers!$C$1:$C$1001,,0))</f>
        <v>sweldsar@wired.com</v>
      </c>
      <c r="H389" s="2" t="str">
        <f>_xlfn.XLOOKUP(C389,customers!$A$1:$A$1001,customers!$G$1:$G$1001,,0)</f>
        <v>United States</v>
      </c>
      <c r="I389" t="str">
        <f>INDEX(products!$A$1:$G$49, MATCH(orders!$D389,products!$A$1:$A$49,0), MATCH(I$1,products!$A$1:$G$1,0))</f>
        <v>Exc</v>
      </c>
      <c r="J389" t="str">
        <f>INDEX(products!$A$1:$G$49, MATCH(orders!$D389,products!$A$1:$A$49,0), MATCH(J$1,products!$A$1:$G$1,0))</f>
        <v>L</v>
      </c>
      <c r="K389" s="4">
        <f>INDEX(products!$A$1:$G$49, MATCH(orders!$D389,products!$A$1:$A$49,0), MATCH(K$1,products!$A$1:$G$1,0))</f>
        <v>1</v>
      </c>
      <c r="L389" s="5">
        <f>INDEX(products!$A$1:$G$49, MATCH(orders!$D389,products!$A$1:$A$49,0), MATCH(L$1,products!$A$1:$G$1,0))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 = 0, "", _xlfn.XLOOKUP(C390,customers!$A$1:$A$1001,customers!$C$1:$C$1001,,0))</f>
        <v>msarvaras@artisteer.com</v>
      </c>
      <c r="H390" s="2" t="str">
        <f>_xlfn.XLOOKUP(C390,customers!$A$1:$A$1001,customers!$G$1:$G$1001,,0)</f>
        <v>United States</v>
      </c>
      <c r="I390" t="str">
        <f>INDEX(products!$A$1:$G$49, MATCH(orders!$D390,products!$A$1:$A$49,0), MATCH(I$1,products!$A$1:$G$1,0))</f>
        <v>Lib</v>
      </c>
      <c r="J390" t="str">
        <f>INDEX(products!$A$1:$G$49, MATCH(orders!$D390,products!$A$1:$A$49,0), MATCH(J$1,products!$A$1:$G$1,0))</f>
        <v>D</v>
      </c>
      <c r="K390" s="4">
        <f>INDEX(products!$A$1:$G$49, MATCH(orders!$D390,products!$A$1:$A$49,0), MATCH(K$1,products!$A$1:$G$1,0))</f>
        <v>0.2</v>
      </c>
      <c r="L390" s="5">
        <f>INDEX(products!$A$1:$G$49, MATCH(orders!$D390,products!$A$1:$A$49,0), MATCH(L$1,products!$A$1:$G$1,0))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 = 0, "", _xlfn.XLOOKUP(C391,customers!$A$1:$A$1001,customers!$C$1:$C$1001,,0))</f>
        <v>ahavickat@nsw.gov.au</v>
      </c>
      <c r="H391" s="2" t="str">
        <f>_xlfn.XLOOKUP(C391,customers!$A$1:$A$1001,customers!$G$1:$G$1001,,0)</f>
        <v>United States</v>
      </c>
      <c r="I391" t="str">
        <f>INDEX(products!$A$1:$G$49, MATCH(orders!$D391,products!$A$1:$A$49,0), MATCH(I$1,products!$A$1:$G$1,0))</f>
        <v>Lib</v>
      </c>
      <c r="J391" t="str">
        <f>INDEX(products!$A$1:$G$49, MATCH(orders!$D391,products!$A$1:$A$49,0), MATCH(J$1,products!$A$1:$G$1,0))</f>
        <v>D</v>
      </c>
      <c r="K391" s="4">
        <f>INDEX(products!$A$1:$G$49, MATCH(orders!$D391,products!$A$1:$A$49,0), MATCH(K$1,products!$A$1:$G$1,0))</f>
        <v>0.5</v>
      </c>
      <c r="L391" s="5">
        <f>INDEX(products!$A$1:$G$49, MATCH(orders!$D391,products!$A$1:$A$49,0), MATCH(L$1,products!$A$1:$G$1,0))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 = 0, "", _xlfn.XLOOKUP(C392,customers!$A$1:$A$1001,customers!$C$1:$C$1001,,0))</f>
        <v>sdivinyau@ask.com</v>
      </c>
      <c r="H392" s="2" t="str">
        <f>_xlfn.XLOOKUP(C392,customers!$A$1:$A$1001,customers!$G$1:$G$1001,,0)</f>
        <v>United States</v>
      </c>
      <c r="I392" t="str">
        <f>INDEX(products!$A$1:$G$49, MATCH(orders!$D392,products!$A$1:$A$49,0), MATCH(I$1,products!$A$1:$G$1,0))</f>
        <v>Exc</v>
      </c>
      <c r="J392" t="str">
        <f>INDEX(products!$A$1:$G$49, MATCH(orders!$D392,products!$A$1:$A$49,0), MATCH(J$1,products!$A$1:$G$1,0))</f>
        <v>D</v>
      </c>
      <c r="K392" s="4">
        <f>INDEX(products!$A$1:$G$49, MATCH(orders!$D392,products!$A$1:$A$49,0), MATCH(K$1,products!$A$1:$G$1,0))</f>
        <v>0.5</v>
      </c>
      <c r="L392" s="5">
        <f>INDEX(products!$A$1:$G$49, MATCH(orders!$D392,products!$A$1:$A$49,0), MATCH(L$1,products!$A$1:$G$1,0))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 = 0, "", _xlfn.XLOOKUP(C393,customers!$A$1:$A$1001,customers!$C$1:$C$1001,,0))</f>
        <v>inorquoyav@businessweek.com</v>
      </c>
      <c r="H393" s="2" t="str">
        <f>_xlfn.XLOOKUP(C393,customers!$A$1:$A$1001,customers!$G$1:$G$1001,,0)</f>
        <v>United States</v>
      </c>
      <c r="I393" t="str">
        <f>INDEX(products!$A$1:$G$49, MATCH(orders!$D393,products!$A$1:$A$49,0), MATCH(I$1,products!$A$1:$G$1,0))</f>
        <v>Ara</v>
      </c>
      <c r="J393" t="str">
        <f>INDEX(products!$A$1:$G$49, MATCH(orders!$D393,products!$A$1:$A$49,0), MATCH(J$1,products!$A$1:$G$1,0))</f>
        <v>M</v>
      </c>
      <c r="K393" s="4">
        <f>INDEX(products!$A$1:$G$49, MATCH(orders!$D393,products!$A$1:$A$49,0), MATCH(K$1,products!$A$1:$G$1,0))</f>
        <v>0.5</v>
      </c>
      <c r="L393" s="5">
        <f>INDEX(products!$A$1:$G$49, MATCH(orders!$D393,products!$A$1:$A$49,0), MATCH(L$1,products!$A$1:$G$1,0))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 = 0, "", _xlfn.XLOOKUP(C394,customers!$A$1:$A$1001,customers!$C$1:$C$1001,,0))</f>
        <v>aiddisonaw@usa.gov</v>
      </c>
      <c r="H394" s="2" t="str">
        <f>_xlfn.XLOOKUP(C394,customers!$A$1:$A$1001,customers!$G$1:$G$1001,,0)</f>
        <v>United States</v>
      </c>
      <c r="I394" t="str">
        <f>INDEX(products!$A$1:$G$49, MATCH(orders!$D394,products!$A$1:$A$49,0), MATCH(I$1,products!$A$1:$G$1,0))</f>
        <v>Exc</v>
      </c>
      <c r="J394" t="str">
        <f>INDEX(products!$A$1:$G$49, MATCH(orders!$D394,products!$A$1:$A$49,0), MATCH(J$1,products!$A$1:$G$1,0))</f>
        <v>L</v>
      </c>
      <c r="K394" s="4">
        <f>INDEX(products!$A$1:$G$49, MATCH(orders!$D394,products!$A$1:$A$49,0), MATCH(K$1,products!$A$1:$G$1,0))</f>
        <v>1</v>
      </c>
      <c r="L394" s="5">
        <f>INDEX(products!$A$1:$G$49, MATCH(orders!$D394,products!$A$1:$A$49,0), MATCH(L$1,products!$A$1:$G$1,0))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 = 0, "", _xlfn.XLOOKUP(C395,customers!$A$1:$A$1001,customers!$C$1:$C$1001,,0))</f>
        <v>aiddisonaw@usa.gov</v>
      </c>
      <c r="H395" s="2" t="str">
        <f>_xlfn.XLOOKUP(C395,customers!$A$1:$A$1001,customers!$G$1:$G$1001,,0)</f>
        <v>United States</v>
      </c>
      <c r="I395" t="str">
        <f>INDEX(products!$A$1:$G$49, MATCH(orders!$D395,products!$A$1:$A$49,0), MATCH(I$1,products!$A$1:$G$1,0))</f>
        <v>Ara</v>
      </c>
      <c r="J395" t="str">
        <f>INDEX(products!$A$1:$G$49, MATCH(orders!$D395,products!$A$1:$A$49,0), MATCH(J$1,products!$A$1:$G$1,0))</f>
        <v>L</v>
      </c>
      <c r="K395" s="4">
        <f>INDEX(products!$A$1:$G$49, MATCH(orders!$D395,products!$A$1:$A$49,0), MATCH(K$1,products!$A$1:$G$1,0))</f>
        <v>0.2</v>
      </c>
      <c r="L395" s="5">
        <f>INDEX(products!$A$1:$G$49, MATCH(orders!$D395,products!$A$1:$A$49,0), MATCH(L$1,products!$A$1:$G$1,0))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 = 0, "", _xlfn.XLOOKUP(C396,customers!$A$1:$A$1001,customers!$C$1:$C$1001,,0))</f>
        <v>rlongfielday@bluehost.com</v>
      </c>
      <c r="H396" s="2" t="str">
        <f>_xlfn.XLOOKUP(C396,customers!$A$1:$A$1001,customers!$G$1:$G$1001,,0)</f>
        <v>United States</v>
      </c>
      <c r="I396" t="str">
        <f>INDEX(products!$A$1:$G$49, MATCH(orders!$D396,products!$A$1:$A$49,0), MATCH(I$1,products!$A$1:$G$1,0))</f>
        <v>Rob</v>
      </c>
      <c r="J396" t="str">
        <f>INDEX(products!$A$1:$G$49, MATCH(orders!$D396,products!$A$1:$A$49,0), MATCH(J$1,products!$A$1:$G$1,0))</f>
        <v>L</v>
      </c>
      <c r="K396" s="4">
        <f>INDEX(products!$A$1:$G$49, MATCH(orders!$D396,products!$A$1:$A$49,0), MATCH(K$1,products!$A$1:$G$1,0))</f>
        <v>2.5</v>
      </c>
      <c r="L396" s="5">
        <f>INDEX(products!$A$1:$G$49, MATCH(orders!$D396,products!$A$1:$A$49,0), MATCH(L$1,products!$A$1:$G$1,0))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 = 0, "", _xlfn.XLOOKUP(C397,customers!$A$1:$A$1001,customers!$C$1:$C$1001,,0))</f>
        <v>gkislingburyaz@samsung.com</v>
      </c>
      <c r="H397" s="2" t="str">
        <f>_xlfn.XLOOKUP(C397,customers!$A$1:$A$1001,customers!$G$1:$G$1001,,0)</f>
        <v>United States</v>
      </c>
      <c r="I397" t="str">
        <f>INDEX(products!$A$1:$G$49, MATCH(orders!$D397,products!$A$1:$A$49,0), MATCH(I$1,products!$A$1:$G$1,0))</f>
        <v>Lib</v>
      </c>
      <c r="J397" t="str">
        <f>INDEX(products!$A$1:$G$49, MATCH(orders!$D397,products!$A$1:$A$49,0), MATCH(J$1,products!$A$1:$G$1,0))</f>
        <v>D</v>
      </c>
      <c r="K397" s="4">
        <f>INDEX(products!$A$1:$G$49, MATCH(orders!$D397,products!$A$1:$A$49,0), MATCH(K$1,products!$A$1:$G$1,0))</f>
        <v>0.5</v>
      </c>
      <c r="L397" s="5">
        <f>INDEX(products!$A$1:$G$49, MATCH(orders!$D397,products!$A$1:$A$49,0), MATCH(L$1,products!$A$1:$G$1,0))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 = 0, "", _xlfn.XLOOKUP(C398,customers!$A$1:$A$1001,customers!$C$1:$C$1001,,0))</f>
        <v>xgibbonsb0@artisteer.com</v>
      </c>
      <c r="H398" s="2" t="str">
        <f>_xlfn.XLOOKUP(C398,customers!$A$1:$A$1001,customers!$G$1:$G$1001,,0)</f>
        <v>United States</v>
      </c>
      <c r="I398" t="str">
        <f>INDEX(products!$A$1:$G$49, MATCH(orders!$D398,products!$A$1:$A$49,0), MATCH(I$1,products!$A$1:$G$1,0))</f>
        <v>Ara</v>
      </c>
      <c r="J398" t="str">
        <f>INDEX(products!$A$1:$G$49, MATCH(orders!$D398,products!$A$1:$A$49,0), MATCH(J$1,products!$A$1:$G$1,0))</f>
        <v>L</v>
      </c>
      <c r="K398" s="4">
        <f>INDEX(products!$A$1:$G$49, MATCH(orders!$D398,products!$A$1:$A$49,0), MATCH(K$1,products!$A$1:$G$1,0))</f>
        <v>0.5</v>
      </c>
      <c r="L398" s="5">
        <f>INDEX(products!$A$1:$G$49, MATCH(orders!$D398,products!$A$1:$A$49,0), MATCH(L$1,products!$A$1:$G$1,0))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 = 0, "", _xlfn.XLOOKUP(C399,customers!$A$1:$A$1001,customers!$C$1:$C$1001,,0))</f>
        <v>fparresb1@imageshack.us</v>
      </c>
      <c r="H399" s="2" t="str">
        <f>_xlfn.XLOOKUP(C399,customers!$A$1:$A$1001,customers!$G$1:$G$1001,,0)</f>
        <v>United States</v>
      </c>
      <c r="I399" t="str">
        <f>INDEX(products!$A$1:$G$49, MATCH(orders!$D399,products!$A$1:$A$49,0), MATCH(I$1,products!$A$1:$G$1,0))</f>
        <v>Lib</v>
      </c>
      <c r="J399" t="str">
        <f>INDEX(products!$A$1:$G$49, MATCH(orders!$D399,products!$A$1:$A$49,0), MATCH(J$1,products!$A$1:$G$1,0))</f>
        <v>D</v>
      </c>
      <c r="K399" s="4">
        <f>INDEX(products!$A$1:$G$49, MATCH(orders!$D399,products!$A$1:$A$49,0), MATCH(K$1,products!$A$1:$G$1,0))</f>
        <v>0.5</v>
      </c>
      <c r="L399" s="5">
        <f>INDEX(products!$A$1:$G$49, MATCH(orders!$D399,products!$A$1:$A$49,0), MATCH(L$1,products!$A$1:$G$1,0))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 = 0, "", _xlfn.XLOOKUP(C400,customers!$A$1:$A$1001,customers!$C$1:$C$1001,,0))</f>
        <v>gsibrayb2@wsj.com</v>
      </c>
      <c r="H400" s="2" t="str">
        <f>_xlfn.XLOOKUP(C400,customers!$A$1:$A$1001,customers!$G$1:$G$1001,,0)</f>
        <v>United States</v>
      </c>
      <c r="I400" t="str">
        <f>INDEX(products!$A$1:$G$49, MATCH(orders!$D400,products!$A$1:$A$49,0), MATCH(I$1,products!$A$1:$G$1,0))</f>
        <v>Ara</v>
      </c>
      <c r="J400" t="str">
        <f>INDEX(products!$A$1:$G$49, MATCH(orders!$D400,products!$A$1:$A$49,0), MATCH(J$1,products!$A$1:$G$1,0))</f>
        <v>D</v>
      </c>
      <c r="K400" s="4">
        <f>INDEX(products!$A$1:$G$49, MATCH(orders!$D400,products!$A$1:$A$49,0), MATCH(K$1,products!$A$1:$G$1,0))</f>
        <v>0.2</v>
      </c>
      <c r="L400" s="5">
        <f>INDEX(products!$A$1:$G$49, MATCH(orders!$D400,products!$A$1:$A$49,0), MATCH(L$1,products!$A$1:$G$1,0))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 = 0, "", _xlfn.XLOOKUP(C401,customers!$A$1:$A$1001,customers!$C$1:$C$1001,,0))</f>
        <v>ihotchkinb3@mit.edu</v>
      </c>
      <c r="H401" s="2" t="str">
        <f>_xlfn.XLOOKUP(C401,customers!$A$1:$A$1001,customers!$G$1:$G$1001,,0)</f>
        <v>United Kingdom</v>
      </c>
      <c r="I401" t="str">
        <f>INDEX(products!$A$1:$G$49, MATCH(orders!$D401,products!$A$1:$A$49,0), MATCH(I$1,products!$A$1:$G$1,0))</f>
        <v>Exc</v>
      </c>
      <c r="J401" t="str">
        <f>INDEX(products!$A$1:$G$49, MATCH(orders!$D401,products!$A$1:$A$49,0), MATCH(J$1,products!$A$1:$G$1,0))</f>
        <v>D</v>
      </c>
      <c r="K401" s="4">
        <f>INDEX(products!$A$1:$G$49, MATCH(orders!$D401,products!$A$1:$A$49,0), MATCH(K$1,products!$A$1:$G$1,0))</f>
        <v>2.5</v>
      </c>
      <c r="L401" s="5">
        <f>INDEX(products!$A$1:$G$49, MATCH(orders!$D401,products!$A$1:$A$49,0), MATCH(L$1,products!$A$1:$G$1,0))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 = 0, "", _xlfn.XLOOKUP(C402,customers!$A$1:$A$1001,customers!$C$1:$C$1001,,0))</f>
        <v>nbroadberrieb4@gnu.org</v>
      </c>
      <c r="H402" s="2" t="str">
        <f>_xlfn.XLOOKUP(C402,customers!$A$1:$A$1001,customers!$G$1:$G$1001,,0)</f>
        <v>United States</v>
      </c>
      <c r="I402" t="str">
        <f>INDEX(products!$A$1:$G$49, MATCH(orders!$D402,products!$A$1:$A$49,0), MATCH(I$1,products!$A$1:$G$1,0))</f>
        <v>Lib</v>
      </c>
      <c r="J402" t="str">
        <f>INDEX(products!$A$1:$G$49, MATCH(orders!$D402,products!$A$1:$A$49,0), MATCH(J$1,products!$A$1:$G$1,0))</f>
        <v>L</v>
      </c>
      <c r="K402" s="4">
        <f>INDEX(products!$A$1:$G$49, MATCH(orders!$D402,products!$A$1:$A$49,0), MATCH(K$1,products!$A$1:$G$1,0))</f>
        <v>1</v>
      </c>
      <c r="L402" s="5">
        <f>INDEX(products!$A$1:$G$49, MATCH(orders!$D402,products!$A$1:$A$49,0), MATCH(L$1,products!$A$1:$G$1,0))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 = 0, "", _xlfn.XLOOKUP(C403,customers!$A$1:$A$1001,customers!$C$1:$C$1001,,0))</f>
        <v>rpithcockb5@yellowbook.com</v>
      </c>
      <c r="H403" s="2" t="str">
        <f>_xlfn.XLOOKUP(C403,customers!$A$1:$A$1001,customers!$G$1:$G$1001,,0)</f>
        <v>United States</v>
      </c>
      <c r="I403" t="str">
        <f>INDEX(products!$A$1:$G$49, MATCH(orders!$D403,products!$A$1:$A$49,0), MATCH(I$1,products!$A$1:$G$1,0))</f>
        <v>Lib</v>
      </c>
      <c r="J403" t="str">
        <f>INDEX(products!$A$1:$G$49, MATCH(orders!$D403,products!$A$1:$A$49,0), MATCH(J$1,products!$A$1:$G$1,0))</f>
        <v>M</v>
      </c>
      <c r="K403" s="4">
        <f>INDEX(products!$A$1:$G$49, MATCH(orders!$D403,products!$A$1:$A$49,0), MATCH(K$1,products!$A$1:$G$1,0))</f>
        <v>0.2</v>
      </c>
      <c r="L403" s="5">
        <f>INDEX(products!$A$1:$G$49, MATCH(orders!$D403,products!$A$1:$A$49,0), MATCH(L$1,products!$A$1:$G$1,0))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 = 0, "", _xlfn.XLOOKUP(C404,customers!$A$1:$A$1001,customers!$C$1:$C$1001,,0))</f>
        <v>gcroysdaleb6@nih.gov</v>
      </c>
      <c r="H404" s="2" t="str">
        <f>_xlfn.XLOOKUP(C404,customers!$A$1:$A$1001,customers!$G$1:$G$1001,,0)</f>
        <v>United States</v>
      </c>
      <c r="I404" t="str">
        <f>INDEX(products!$A$1:$G$49, MATCH(orders!$D404,products!$A$1:$A$49,0), MATCH(I$1,products!$A$1:$G$1,0))</f>
        <v>Rob</v>
      </c>
      <c r="J404" t="str">
        <f>INDEX(products!$A$1:$G$49, MATCH(orders!$D404,products!$A$1:$A$49,0), MATCH(J$1,products!$A$1:$G$1,0))</f>
        <v>D</v>
      </c>
      <c r="K404" s="4">
        <f>INDEX(products!$A$1:$G$49, MATCH(orders!$D404,products!$A$1:$A$49,0), MATCH(K$1,products!$A$1:$G$1,0))</f>
        <v>1</v>
      </c>
      <c r="L404" s="5">
        <f>INDEX(products!$A$1:$G$49, MATCH(orders!$D404,products!$A$1:$A$49,0), MATCH(L$1,products!$A$1:$G$1,0))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 = 0, "", _xlfn.XLOOKUP(C405,customers!$A$1:$A$1001,customers!$C$1:$C$1001,,0))</f>
        <v>bgozzettb7@github.com</v>
      </c>
      <c r="H405" s="2" t="str">
        <f>_xlfn.XLOOKUP(C405,customers!$A$1:$A$1001,customers!$G$1:$G$1001,,0)</f>
        <v>United States</v>
      </c>
      <c r="I405" t="str">
        <f>INDEX(products!$A$1:$G$49, MATCH(orders!$D405,products!$A$1:$A$49,0), MATCH(I$1,products!$A$1:$G$1,0))</f>
        <v>Lib</v>
      </c>
      <c r="J405" t="str">
        <f>INDEX(products!$A$1:$G$49, MATCH(orders!$D405,products!$A$1:$A$49,0), MATCH(J$1,products!$A$1:$G$1,0))</f>
        <v>L</v>
      </c>
      <c r="K405" s="4">
        <f>INDEX(products!$A$1:$G$49, MATCH(orders!$D405,products!$A$1:$A$49,0), MATCH(K$1,products!$A$1:$G$1,0))</f>
        <v>0.2</v>
      </c>
      <c r="L405" s="5">
        <f>INDEX(products!$A$1:$G$49, MATCH(orders!$D405,products!$A$1:$A$49,0), MATCH(L$1,products!$A$1:$G$1,0))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 = 0, "", _xlfn.XLOOKUP(C406,customers!$A$1:$A$1001,customers!$C$1:$C$1001,,0))</f>
        <v>tcraggsb8@house.gov</v>
      </c>
      <c r="H406" s="2" t="str">
        <f>_xlfn.XLOOKUP(C406,customers!$A$1:$A$1001,customers!$G$1:$G$1001,,0)</f>
        <v>Ireland</v>
      </c>
      <c r="I406" t="str">
        <f>INDEX(products!$A$1:$G$49, MATCH(orders!$D406,products!$A$1:$A$49,0), MATCH(I$1,products!$A$1:$G$1,0))</f>
        <v>Ara</v>
      </c>
      <c r="J406" t="str">
        <f>INDEX(products!$A$1:$G$49, MATCH(orders!$D406,products!$A$1:$A$49,0), MATCH(J$1,products!$A$1:$G$1,0))</f>
        <v>D</v>
      </c>
      <c r="K406" s="4">
        <f>INDEX(products!$A$1:$G$49, MATCH(orders!$D406,products!$A$1:$A$49,0), MATCH(K$1,products!$A$1:$G$1,0))</f>
        <v>1</v>
      </c>
      <c r="L406" s="5">
        <f>INDEX(products!$A$1:$G$49, MATCH(orders!$D406,products!$A$1:$A$49,0), MATCH(L$1,products!$A$1:$G$1,0))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 = 0, "", _xlfn.XLOOKUP(C407,customers!$A$1:$A$1001,customers!$C$1:$C$1001,,0))</f>
        <v>lcullrfordb9@xing.com</v>
      </c>
      <c r="H407" s="2" t="str">
        <f>_xlfn.XLOOKUP(C407,customers!$A$1:$A$1001,customers!$G$1:$G$1001,,0)</f>
        <v>United States</v>
      </c>
      <c r="I407" t="str">
        <f>INDEX(products!$A$1:$G$49, MATCH(orders!$D407,products!$A$1:$A$49,0), MATCH(I$1,products!$A$1:$G$1,0))</f>
        <v>Exc</v>
      </c>
      <c r="J407" t="str">
        <f>INDEX(products!$A$1:$G$49, MATCH(orders!$D407,products!$A$1:$A$49,0), MATCH(J$1,products!$A$1:$G$1,0))</f>
        <v>M</v>
      </c>
      <c r="K407" s="4">
        <f>INDEX(products!$A$1:$G$49, MATCH(orders!$D407,products!$A$1:$A$49,0), MATCH(K$1,products!$A$1:$G$1,0))</f>
        <v>0.5</v>
      </c>
      <c r="L407" s="5">
        <f>INDEX(products!$A$1:$G$49, MATCH(orders!$D407,products!$A$1:$A$49,0), MATCH(L$1,products!$A$1:$G$1,0))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 = 0, "", _xlfn.XLOOKUP(C408,customers!$A$1:$A$1001,customers!$C$1:$C$1001,,0))</f>
        <v>arizonba@xing.com</v>
      </c>
      <c r="H408" s="2" t="str">
        <f>_xlfn.XLOOKUP(C408,customers!$A$1:$A$1001,customers!$G$1:$G$1001,,0)</f>
        <v>United States</v>
      </c>
      <c r="I408" t="str">
        <f>INDEX(products!$A$1:$G$49, MATCH(orders!$D408,products!$A$1:$A$49,0), MATCH(I$1,products!$A$1:$G$1,0))</f>
        <v>Exc</v>
      </c>
      <c r="J408" t="str">
        <f>INDEX(products!$A$1:$G$49, MATCH(orders!$D408,products!$A$1:$A$49,0), MATCH(J$1,products!$A$1:$G$1,0))</f>
        <v>M</v>
      </c>
      <c r="K408" s="4">
        <f>INDEX(products!$A$1:$G$49, MATCH(orders!$D408,products!$A$1:$A$49,0), MATCH(K$1,products!$A$1:$G$1,0))</f>
        <v>1</v>
      </c>
      <c r="L408" s="5">
        <f>INDEX(products!$A$1:$G$49, MATCH(orders!$D408,products!$A$1:$A$49,0), MATCH(L$1,products!$A$1:$G$1,0))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 = 0, "", _xlfn.XLOOKUP(C409,customers!$A$1:$A$1001,customers!$C$1:$C$1001,,0))</f>
        <v/>
      </c>
      <c r="H409" s="2" t="str">
        <f>_xlfn.XLOOKUP(C409,customers!$A$1:$A$1001,customers!$G$1:$G$1001,,0)</f>
        <v>Ireland</v>
      </c>
      <c r="I409" t="str">
        <f>INDEX(products!$A$1:$G$49, MATCH(orders!$D409,products!$A$1:$A$49,0), MATCH(I$1,products!$A$1:$G$1,0))</f>
        <v>Exc</v>
      </c>
      <c r="J409" t="str">
        <f>INDEX(products!$A$1:$G$49, MATCH(orders!$D409,products!$A$1:$A$49,0), MATCH(J$1,products!$A$1:$G$1,0))</f>
        <v>M</v>
      </c>
      <c r="K409" s="4">
        <f>INDEX(products!$A$1:$G$49, MATCH(orders!$D409,products!$A$1:$A$49,0), MATCH(K$1,products!$A$1:$G$1,0))</f>
        <v>0.5</v>
      </c>
      <c r="L409" s="5">
        <f>INDEX(products!$A$1:$G$49, MATCH(orders!$D409,products!$A$1:$A$49,0), MATCH(L$1,products!$A$1:$G$1,0))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 = 0, "", _xlfn.XLOOKUP(C410,customers!$A$1:$A$1001,customers!$C$1:$C$1001,,0))</f>
        <v>fmiellbc@spiegel.de</v>
      </c>
      <c r="H410" s="2" t="str">
        <f>_xlfn.XLOOKUP(C410,customers!$A$1:$A$1001,customers!$G$1:$G$1001,,0)</f>
        <v>United States</v>
      </c>
      <c r="I410" t="str">
        <f>INDEX(products!$A$1:$G$49, MATCH(orders!$D410,products!$A$1:$A$49,0), MATCH(I$1,products!$A$1:$G$1,0))</f>
        <v>Ara</v>
      </c>
      <c r="J410" t="str">
        <f>INDEX(products!$A$1:$G$49, MATCH(orders!$D410,products!$A$1:$A$49,0), MATCH(J$1,products!$A$1:$G$1,0))</f>
        <v>M</v>
      </c>
      <c r="K410" s="4">
        <f>INDEX(products!$A$1:$G$49, MATCH(orders!$D410,products!$A$1:$A$49,0), MATCH(K$1,products!$A$1:$G$1,0))</f>
        <v>2.5</v>
      </c>
      <c r="L410" s="5">
        <f>INDEX(products!$A$1:$G$49, MATCH(orders!$D410,products!$A$1:$A$49,0), MATCH(L$1,products!$A$1:$G$1,0))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 = 0, "", _xlfn.XLOOKUP(C411,customers!$A$1:$A$1001,customers!$C$1:$C$1001,,0))</f>
        <v/>
      </c>
      <c r="H411" s="2" t="str">
        <f>_xlfn.XLOOKUP(C411,customers!$A$1:$A$1001,customers!$G$1:$G$1001,,0)</f>
        <v>Ireland</v>
      </c>
      <c r="I411" t="str">
        <f>INDEX(products!$A$1:$G$49, MATCH(orders!$D411,products!$A$1:$A$49,0), MATCH(I$1,products!$A$1:$G$1,0))</f>
        <v>Lib</v>
      </c>
      <c r="J411" t="str">
        <f>INDEX(products!$A$1:$G$49, MATCH(orders!$D411,products!$A$1:$A$49,0), MATCH(J$1,products!$A$1:$G$1,0))</f>
        <v>L</v>
      </c>
      <c r="K411" s="4">
        <f>INDEX(products!$A$1:$G$49, MATCH(orders!$D411,products!$A$1:$A$49,0), MATCH(K$1,products!$A$1:$G$1,0))</f>
        <v>1</v>
      </c>
      <c r="L411" s="5">
        <f>INDEX(products!$A$1:$G$49, MATCH(orders!$D411,products!$A$1:$A$49,0), MATCH(L$1,products!$A$1:$G$1,0))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 = 0, "", _xlfn.XLOOKUP(C412,customers!$A$1:$A$1001,customers!$C$1:$C$1001,,0))</f>
        <v/>
      </c>
      <c r="H412" s="2" t="str">
        <f>_xlfn.XLOOKUP(C412,customers!$A$1:$A$1001,customers!$G$1:$G$1001,,0)</f>
        <v>United States</v>
      </c>
      <c r="I412" t="str">
        <f>INDEX(products!$A$1:$G$49, MATCH(orders!$D412,products!$A$1:$A$49,0), MATCH(I$1,products!$A$1:$G$1,0))</f>
        <v>Ara</v>
      </c>
      <c r="J412" t="str">
        <f>INDEX(products!$A$1:$G$49, MATCH(orders!$D412,products!$A$1:$A$49,0), MATCH(J$1,products!$A$1:$G$1,0))</f>
        <v>L</v>
      </c>
      <c r="K412" s="4">
        <f>INDEX(products!$A$1:$G$49, MATCH(orders!$D412,products!$A$1:$A$49,0), MATCH(K$1,products!$A$1:$G$1,0))</f>
        <v>0.2</v>
      </c>
      <c r="L412" s="5">
        <f>INDEX(products!$A$1:$G$49, MATCH(orders!$D412,products!$A$1:$A$49,0), MATCH(L$1,products!$A$1:$G$1,0))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 = 0, "", _xlfn.XLOOKUP(C413,customers!$A$1:$A$1001,customers!$C$1:$C$1001,,0))</f>
        <v/>
      </c>
      <c r="H413" s="2" t="str">
        <f>_xlfn.XLOOKUP(C413,customers!$A$1:$A$1001,customers!$G$1:$G$1001,,0)</f>
        <v>United States</v>
      </c>
      <c r="I413" t="str">
        <f>INDEX(products!$A$1:$G$49, MATCH(orders!$D413,products!$A$1:$A$49,0), MATCH(I$1,products!$A$1:$G$1,0))</f>
        <v>Lib</v>
      </c>
      <c r="J413" t="str">
        <f>INDEX(products!$A$1:$G$49, MATCH(orders!$D413,products!$A$1:$A$49,0), MATCH(J$1,products!$A$1:$G$1,0))</f>
        <v>M</v>
      </c>
      <c r="K413" s="4">
        <f>INDEX(products!$A$1:$G$49, MATCH(orders!$D413,products!$A$1:$A$49,0), MATCH(K$1,products!$A$1:$G$1,0))</f>
        <v>1</v>
      </c>
      <c r="L413" s="5">
        <f>INDEX(products!$A$1:$G$49, MATCH(orders!$D413,products!$A$1:$A$49,0), MATCH(L$1,products!$A$1:$G$1,0))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 = 0, "", _xlfn.XLOOKUP(C414,customers!$A$1:$A$1001,customers!$C$1:$C$1001,,0))</f>
        <v/>
      </c>
      <c r="H414" s="2" t="str">
        <f>_xlfn.XLOOKUP(C414,customers!$A$1:$A$1001,customers!$G$1:$G$1001,,0)</f>
        <v>United States</v>
      </c>
      <c r="I414" t="str">
        <f>INDEX(products!$A$1:$G$49, MATCH(orders!$D414,products!$A$1:$A$49,0), MATCH(I$1,products!$A$1:$G$1,0))</f>
        <v>Ara</v>
      </c>
      <c r="J414" t="str">
        <f>INDEX(products!$A$1:$G$49, MATCH(orders!$D414,products!$A$1:$A$49,0), MATCH(J$1,products!$A$1:$G$1,0))</f>
        <v>M</v>
      </c>
      <c r="K414" s="4">
        <f>INDEX(products!$A$1:$G$49, MATCH(orders!$D414,products!$A$1:$A$49,0), MATCH(K$1,products!$A$1:$G$1,0))</f>
        <v>1</v>
      </c>
      <c r="L414" s="5">
        <f>INDEX(products!$A$1:$G$49, MATCH(orders!$D414,products!$A$1:$A$49,0), MATCH(L$1,products!$A$1:$G$1,0))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 = 0, "", _xlfn.XLOOKUP(C415,customers!$A$1:$A$1001,customers!$C$1:$C$1001,,0))</f>
        <v>wspringallbh@jugem.jp</v>
      </c>
      <c r="H415" s="2" t="str">
        <f>_xlfn.XLOOKUP(C415,customers!$A$1:$A$1001,customers!$G$1:$G$1001,,0)</f>
        <v>United States</v>
      </c>
      <c r="I415" t="str">
        <f>INDEX(products!$A$1:$G$49, MATCH(orders!$D415,products!$A$1:$A$49,0), MATCH(I$1,products!$A$1:$G$1,0))</f>
        <v>Lib</v>
      </c>
      <c r="J415" t="str">
        <f>INDEX(products!$A$1:$G$49, MATCH(orders!$D415,products!$A$1:$A$49,0), MATCH(J$1,products!$A$1:$G$1,0))</f>
        <v>L</v>
      </c>
      <c r="K415" s="4">
        <f>INDEX(products!$A$1:$G$49, MATCH(orders!$D415,products!$A$1:$A$49,0), MATCH(K$1,products!$A$1:$G$1,0))</f>
        <v>2.5</v>
      </c>
      <c r="L415" s="5">
        <f>INDEX(products!$A$1:$G$49, MATCH(orders!$D415,products!$A$1:$A$49,0), MATCH(L$1,products!$A$1:$G$1,0))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 = 0, "", _xlfn.XLOOKUP(C416,customers!$A$1:$A$1001,customers!$C$1:$C$1001,,0))</f>
        <v/>
      </c>
      <c r="H416" s="2" t="str">
        <f>_xlfn.XLOOKUP(C416,customers!$A$1:$A$1001,customers!$G$1:$G$1001,,0)</f>
        <v>United States</v>
      </c>
      <c r="I416" t="str">
        <f>INDEX(products!$A$1:$G$49, MATCH(orders!$D416,products!$A$1:$A$49,0), MATCH(I$1,products!$A$1:$G$1,0))</f>
        <v>Rob</v>
      </c>
      <c r="J416" t="str">
        <f>INDEX(products!$A$1:$G$49, MATCH(orders!$D416,products!$A$1:$A$49,0), MATCH(J$1,products!$A$1:$G$1,0))</f>
        <v>L</v>
      </c>
      <c r="K416" s="4">
        <f>INDEX(products!$A$1:$G$49, MATCH(orders!$D416,products!$A$1:$A$49,0), MATCH(K$1,products!$A$1:$G$1,0))</f>
        <v>0.2</v>
      </c>
      <c r="L416" s="5">
        <f>INDEX(products!$A$1:$G$49, MATCH(orders!$D416,products!$A$1:$A$49,0), MATCH(L$1,products!$A$1:$G$1,0))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 = 0, "", _xlfn.XLOOKUP(C417,customers!$A$1:$A$1001,customers!$C$1:$C$1001,,0))</f>
        <v>ghawkyensbj@census.gov</v>
      </c>
      <c r="H417" s="2" t="str">
        <f>_xlfn.XLOOKUP(C417,customers!$A$1:$A$1001,customers!$G$1:$G$1001,,0)</f>
        <v>United States</v>
      </c>
      <c r="I417" t="str">
        <f>INDEX(products!$A$1:$G$49, MATCH(orders!$D417,products!$A$1:$A$49,0), MATCH(I$1,products!$A$1:$G$1,0))</f>
        <v>Rob</v>
      </c>
      <c r="J417" t="str">
        <f>INDEX(products!$A$1:$G$49, MATCH(orders!$D417,products!$A$1:$A$49,0), MATCH(J$1,products!$A$1:$G$1,0))</f>
        <v>M</v>
      </c>
      <c r="K417" s="4">
        <f>INDEX(products!$A$1:$G$49, MATCH(orders!$D417,products!$A$1:$A$49,0), MATCH(K$1,products!$A$1:$G$1,0))</f>
        <v>0.2</v>
      </c>
      <c r="L417" s="5">
        <f>INDEX(products!$A$1:$G$49, MATCH(orders!$D417,products!$A$1:$A$49,0), MATCH(L$1,products!$A$1:$G$1,0))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 = 0, "", _xlfn.XLOOKUP(C418,customers!$A$1:$A$1001,customers!$C$1:$C$1001,,0))</f>
        <v/>
      </c>
      <c r="H418" s="2" t="str">
        <f>_xlfn.XLOOKUP(C418,customers!$A$1:$A$1001,customers!$G$1:$G$1001,,0)</f>
        <v>United States</v>
      </c>
      <c r="I418" t="str">
        <f>INDEX(products!$A$1:$G$49, MATCH(orders!$D418,products!$A$1:$A$49,0), MATCH(I$1,products!$A$1:$G$1,0))</f>
        <v>Ara</v>
      </c>
      <c r="J418" t="str">
        <f>INDEX(products!$A$1:$G$49, MATCH(orders!$D418,products!$A$1:$A$49,0), MATCH(J$1,products!$A$1:$G$1,0))</f>
        <v>L</v>
      </c>
      <c r="K418" s="4">
        <f>INDEX(products!$A$1:$G$49, MATCH(orders!$D418,products!$A$1:$A$49,0), MATCH(K$1,products!$A$1:$G$1,0))</f>
        <v>0.5</v>
      </c>
      <c r="L418" s="5">
        <f>INDEX(products!$A$1:$G$49, MATCH(orders!$D418,products!$A$1:$A$49,0), MATCH(L$1,products!$A$1:$G$1,0))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 = 0, "", _xlfn.XLOOKUP(C419,customers!$A$1:$A$1001,customers!$C$1:$C$1001,,0))</f>
        <v/>
      </c>
      <c r="H419" s="2" t="str">
        <f>_xlfn.XLOOKUP(C419,customers!$A$1:$A$1001,customers!$G$1:$G$1001,,0)</f>
        <v>United States</v>
      </c>
      <c r="I419" t="str">
        <f>INDEX(products!$A$1:$G$49, MATCH(orders!$D419,products!$A$1:$A$49,0), MATCH(I$1,products!$A$1:$G$1,0))</f>
        <v>Ara</v>
      </c>
      <c r="J419" t="str">
        <f>INDEX(products!$A$1:$G$49, MATCH(orders!$D419,products!$A$1:$A$49,0), MATCH(J$1,products!$A$1:$G$1,0))</f>
        <v>L</v>
      </c>
      <c r="K419" s="4">
        <f>INDEX(products!$A$1:$G$49, MATCH(orders!$D419,products!$A$1:$A$49,0), MATCH(K$1,products!$A$1:$G$1,0))</f>
        <v>2.5</v>
      </c>
      <c r="L419" s="5">
        <f>INDEX(products!$A$1:$G$49, MATCH(orders!$D419,products!$A$1:$A$49,0), MATCH(L$1,products!$A$1:$G$1,0))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 = 0, "", _xlfn.XLOOKUP(C420,customers!$A$1:$A$1001,customers!$C$1:$C$1001,,0))</f>
        <v>bmcgilvrabm@so-net.ne.jp</v>
      </c>
      <c r="H420" s="2" t="str">
        <f>_xlfn.XLOOKUP(C420,customers!$A$1:$A$1001,customers!$G$1:$G$1001,,0)</f>
        <v>United States</v>
      </c>
      <c r="I420" t="str">
        <f>INDEX(products!$A$1:$G$49, MATCH(orders!$D420,products!$A$1:$A$49,0), MATCH(I$1,products!$A$1:$G$1,0))</f>
        <v>Ara</v>
      </c>
      <c r="J420" t="str">
        <f>INDEX(products!$A$1:$G$49, MATCH(orders!$D420,products!$A$1:$A$49,0), MATCH(J$1,products!$A$1:$G$1,0))</f>
        <v>L</v>
      </c>
      <c r="K420" s="4">
        <f>INDEX(products!$A$1:$G$49, MATCH(orders!$D420,products!$A$1:$A$49,0), MATCH(K$1,products!$A$1:$G$1,0))</f>
        <v>2.5</v>
      </c>
      <c r="L420" s="5">
        <f>INDEX(products!$A$1:$G$49, MATCH(orders!$D420,products!$A$1:$A$49,0), MATCH(L$1,products!$A$1:$G$1,0))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 = 0, "", _xlfn.XLOOKUP(C421,customers!$A$1:$A$1001,customers!$C$1:$C$1001,,0))</f>
        <v>adanzeybn@github.com</v>
      </c>
      <c r="H421" s="2" t="str">
        <f>_xlfn.XLOOKUP(C421,customers!$A$1:$A$1001,customers!$G$1:$G$1001,,0)</f>
        <v>United States</v>
      </c>
      <c r="I421" t="str">
        <f>INDEX(products!$A$1:$G$49, MATCH(orders!$D421,products!$A$1:$A$49,0), MATCH(I$1,products!$A$1:$G$1,0))</f>
        <v>Lib</v>
      </c>
      <c r="J421" t="str">
        <f>INDEX(products!$A$1:$G$49, MATCH(orders!$D421,products!$A$1:$A$49,0), MATCH(J$1,products!$A$1:$G$1,0))</f>
        <v>M</v>
      </c>
      <c r="K421" s="4">
        <f>INDEX(products!$A$1:$G$49, MATCH(orders!$D421,products!$A$1:$A$49,0), MATCH(K$1,products!$A$1:$G$1,0))</f>
        <v>0.5</v>
      </c>
      <c r="L421" s="5">
        <f>INDEX(products!$A$1:$G$49, MATCH(orders!$D421,products!$A$1:$A$49,0), MATCH(L$1,products!$A$1:$G$1,0))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 = 0, "", _xlfn.XLOOKUP(C422,customers!$A$1:$A$1001,customers!$C$1:$C$1001,,0))</f>
        <v>tfarraac@behance.net</v>
      </c>
      <c r="H422" s="2" t="str">
        <f>_xlfn.XLOOKUP(C422,customers!$A$1:$A$1001,customers!$G$1:$G$1001,,0)</f>
        <v>United States</v>
      </c>
      <c r="I422" t="str">
        <f>INDEX(products!$A$1:$G$49, MATCH(orders!$D422,products!$A$1:$A$49,0), MATCH(I$1,products!$A$1:$G$1,0))</f>
        <v>Lib</v>
      </c>
      <c r="J422" t="str">
        <f>INDEX(products!$A$1:$G$49, MATCH(orders!$D422,products!$A$1:$A$49,0), MATCH(J$1,products!$A$1:$G$1,0))</f>
        <v>D</v>
      </c>
      <c r="K422" s="4">
        <f>INDEX(products!$A$1:$G$49, MATCH(orders!$D422,products!$A$1:$A$49,0), MATCH(K$1,products!$A$1:$G$1,0))</f>
        <v>0.5</v>
      </c>
      <c r="L422" s="5">
        <f>INDEX(products!$A$1:$G$49, MATCH(orders!$D422,products!$A$1:$A$49,0), MATCH(L$1,products!$A$1:$G$1,0))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 = 0, "", _xlfn.XLOOKUP(C423,customers!$A$1:$A$1001,customers!$C$1:$C$1001,,0))</f>
        <v>tfarraac@behance.net</v>
      </c>
      <c r="H423" s="2" t="str">
        <f>_xlfn.XLOOKUP(C423,customers!$A$1:$A$1001,customers!$G$1:$G$1001,,0)</f>
        <v>United States</v>
      </c>
      <c r="I423" t="str">
        <f>INDEX(products!$A$1:$G$49, MATCH(orders!$D423,products!$A$1:$A$49,0), MATCH(I$1,products!$A$1:$G$1,0))</f>
        <v>Ara</v>
      </c>
      <c r="J423" t="str">
        <f>INDEX(products!$A$1:$G$49, MATCH(orders!$D423,products!$A$1:$A$49,0), MATCH(J$1,products!$A$1:$G$1,0))</f>
        <v>D</v>
      </c>
      <c r="K423" s="4">
        <f>INDEX(products!$A$1:$G$49, MATCH(orders!$D423,products!$A$1:$A$49,0), MATCH(K$1,products!$A$1:$G$1,0))</f>
        <v>2.5</v>
      </c>
      <c r="L423" s="5">
        <f>INDEX(products!$A$1:$G$49, MATCH(orders!$D423,products!$A$1:$A$49,0), MATCH(L$1,products!$A$1:$G$1,0))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 = 0, "", _xlfn.XLOOKUP(C424,customers!$A$1:$A$1001,customers!$C$1:$C$1001,,0))</f>
        <v/>
      </c>
      <c r="H424" s="2" t="str">
        <f>_xlfn.XLOOKUP(C424,customers!$A$1:$A$1001,customers!$G$1:$G$1001,,0)</f>
        <v>United States</v>
      </c>
      <c r="I424" t="str">
        <f>INDEX(products!$A$1:$G$49, MATCH(orders!$D424,products!$A$1:$A$49,0), MATCH(I$1,products!$A$1:$G$1,0))</f>
        <v>Ara</v>
      </c>
      <c r="J424" t="str">
        <f>INDEX(products!$A$1:$G$49, MATCH(orders!$D424,products!$A$1:$A$49,0), MATCH(J$1,products!$A$1:$G$1,0))</f>
        <v>D</v>
      </c>
      <c r="K424" s="4">
        <f>INDEX(products!$A$1:$G$49, MATCH(orders!$D424,products!$A$1:$A$49,0), MATCH(K$1,products!$A$1:$G$1,0))</f>
        <v>0.5</v>
      </c>
      <c r="L424" s="5">
        <f>INDEX(products!$A$1:$G$49, MATCH(orders!$D424,products!$A$1:$A$49,0), MATCH(L$1,products!$A$1:$G$1,0))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 = 0, "", _xlfn.XLOOKUP(C425,customers!$A$1:$A$1001,customers!$C$1:$C$1001,,0))</f>
        <v/>
      </c>
      <c r="H425" s="2" t="str">
        <f>_xlfn.XLOOKUP(C425,customers!$A$1:$A$1001,customers!$G$1:$G$1001,,0)</f>
        <v>United States</v>
      </c>
      <c r="I425" t="str">
        <f>INDEX(products!$A$1:$G$49, MATCH(orders!$D425,products!$A$1:$A$49,0), MATCH(I$1,products!$A$1:$G$1,0))</f>
        <v>Rob</v>
      </c>
      <c r="J425" t="str">
        <f>INDEX(products!$A$1:$G$49, MATCH(orders!$D425,products!$A$1:$A$49,0), MATCH(J$1,products!$A$1:$G$1,0))</f>
        <v>M</v>
      </c>
      <c r="K425" s="4">
        <f>INDEX(products!$A$1:$G$49, MATCH(orders!$D425,products!$A$1:$A$49,0), MATCH(K$1,products!$A$1:$G$1,0))</f>
        <v>0.5</v>
      </c>
      <c r="L425" s="5">
        <f>INDEX(products!$A$1:$G$49, MATCH(orders!$D425,products!$A$1:$A$49,0), MATCH(L$1,products!$A$1:$G$1,0))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 = 0, "", _xlfn.XLOOKUP(C426,customers!$A$1:$A$1001,customers!$C$1:$C$1001,,0))</f>
        <v>ydombrellbs@dedecms.com</v>
      </c>
      <c r="H426" s="2" t="str">
        <f>_xlfn.XLOOKUP(C426,customers!$A$1:$A$1001,customers!$G$1:$G$1001,,0)</f>
        <v>United States</v>
      </c>
      <c r="I426" t="str">
        <f>INDEX(products!$A$1:$G$49, MATCH(orders!$D426,products!$A$1:$A$49,0), MATCH(I$1,products!$A$1:$G$1,0))</f>
        <v>Exc</v>
      </c>
      <c r="J426" t="str">
        <f>INDEX(products!$A$1:$G$49, MATCH(orders!$D426,products!$A$1:$A$49,0), MATCH(J$1,products!$A$1:$G$1,0))</f>
        <v>L</v>
      </c>
      <c r="K426" s="4">
        <f>INDEX(products!$A$1:$G$49, MATCH(orders!$D426,products!$A$1:$A$49,0), MATCH(K$1,products!$A$1:$G$1,0))</f>
        <v>0.5</v>
      </c>
      <c r="L426" s="5">
        <f>INDEX(products!$A$1:$G$49, MATCH(orders!$D426,products!$A$1:$A$49,0), MATCH(L$1,products!$A$1:$G$1,0))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 = 0, "", _xlfn.XLOOKUP(C427,customers!$A$1:$A$1001,customers!$C$1:$C$1001,,0))</f>
        <v>adarthbt@t.co</v>
      </c>
      <c r="H427" s="2" t="str">
        <f>_xlfn.XLOOKUP(C427,customers!$A$1:$A$1001,customers!$G$1:$G$1001,,0)</f>
        <v>United States</v>
      </c>
      <c r="I427" t="str">
        <f>INDEX(products!$A$1:$G$49, MATCH(orders!$D427,products!$A$1:$A$49,0), MATCH(I$1,products!$A$1:$G$1,0))</f>
        <v>Rob</v>
      </c>
      <c r="J427" t="str">
        <f>INDEX(products!$A$1:$G$49, MATCH(orders!$D427,products!$A$1:$A$49,0), MATCH(J$1,products!$A$1:$G$1,0))</f>
        <v>D</v>
      </c>
      <c r="K427" s="4">
        <f>INDEX(products!$A$1:$G$49, MATCH(orders!$D427,products!$A$1:$A$49,0), MATCH(K$1,products!$A$1:$G$1,0))</f>
        <v>1</v>
      </c>
      <c r="L427" s="5">
        <f>INDEX(products!$A$1:$G$49, MATCH(orders!$D427,products!$A$1:$A$49,0), MATCH(L$1,products!$A$1:$G$1,0))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 = 0, "", _xlfn.XLOOKUP(C428,customers!$A$1:$A$1001,customers!$C$1:$C$1001,,0))</f>
        <v>mdarrigoebu@hud.gov</v>
      </c>
      <c r="H428" s="2" t="str">
        <f>_xlfn.XLOOKUP(C428,customers!$A$1:$A$1001,customers!$G$1:$G$1001,,0)</f>
        <v>Ireland</v>
      </c>
      <c r="I428" t="str">
        <f>INDEX(products!$A$1:$G$49, MATCH(orders!$D428,products!$A$1:$A$49,0), MATCH(I$1,products!$A$1:$G$1,0))</f>
        <v>Rob</v>
      </c>
      <c r="J428" t="str">
        <f>INDEX(products!$A$1:$G$49, MATCH(orders!$D428,products!$A$1:$A$49,0), MATCH(J$1,products!$A$1:$G$1,0))</f>
        <v>L</v>
      </c>
      <c r="K428" s="4">
        <f>INDEX(products!$A$1:$G$49, MATCH(orders!$D428,products!$A$1:$A$49,0), MATCH(K$1,products!$A$1:$G$1,0))</f>
        <v>0.2</v>
      </c>
      <c r="L428" s="5">
        <f>INDEX(products!$A$1:$G$49, MATCH(orders!$D428,products!$A$1:$A$49,0), MATCH(L$1,products!$A$1:$G$1,0))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 = 0, "", _xlfn.XLOOKUP(C429,customers!$A$1:$A$1001,customers!$C$1:$C$1001,,0))</f>
        <v/>
      </c>
      <c r="H429" s="2" t="str">
        <f>_xlfn.XLOOKUP(C429,customers!$A$1:$A$1001,customers!$G$1:$G$1001,,0)</f>
        <v>United States</v>
      </c>
      <c r="I429" t="str">
        <f>INDEX(products!$A$1:$G$49, MATCH(orders!$D429,products!$A$1:$A$49,0), MATCH(I$1,products!$A$1:$G$1,0))</f>
        <v>Ara</v>
      </c>
      <c r="J429" t="str">
        <f>INDEX(products!$A$1:$G$49, MATCH(orders!$D429,products!$A$1:$A$49,0), MATCH(J$1,products!$A$1:$G$1,0))</f>
        <v>M</v>
      </c>
      <c r="K429" s="4">
        <f>INDEX(products!$A$1:$G$49, MATCH(orders!$D429,products!$A$1:$A$49,0), MATCH(K$1,products!$A$1:$G$1,0))</f>
        <v>2.5</v>
      </c>
      <c r="L429" s="5">
        <f>INDEX(products!$A$1:$G$49, MATCH(orders!$D429,products!$A$1:$A$49,0), MATCH(L$1,products!$A$1:$G$1,0))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 = 0, "", _xlfn.XLOOKUP(C430,customers!$A$1:$A$1001,customers!$C$1:$C$1001,,0))</f>
        <v>mackrillbw@bandcamp.com</v>
      </c>
      <c r="H430" s="2" t="str">
        <f>_xlfn.XLOOKUP(C430,customers!$A$1:$A$1001,customers!$G$1:$G$1001,,0)</f>
        <v>United States</v>
      </c>
      <c r="I430" t="str">
        <f>INDEX(products!$A$1:$G$49, MATCH(orders!$D430,products!$A$1:$A$49,0), MATCH(I$1,products!$A$1:$G$1,0))</f>
        <v>Rob</v>
      </c>
      <c r="J430" t="str">
        <f>INDEX(products!$A$1:$G$49, MATCH(orders!$D430,products!$A$1:$A$49,0), MATCH(J$1,products!$A$1:$G$1,0))</f>
        <v>L</v>
      </c>
      <c r="K430" s="4">
        <f>INDEX(products!$A$1:$G$49, MATCH(orders!$D430,products!$A$1:$A$49,0), MATCH(K$1,products!$A$1:$G$1,0))</f>
        <v>1</v>
      </c>
      <c r="L430" s="5">
        <f>INDEX(products!$A$1:$G$49, MATCH(orders!$D430,products!$A$1:$A$49,0), MATCH(L$1,products!$A$1:$G$1,0))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 = 0, "", _xlfn.XLOOKUP(C431,customers!$A$1:$A$1001,customers!$C$1:$C$1001,,0))</f>
        <v>tfarraac@behance.net</v>
      </c>
      <c r="H431" s="2" t="str">
        <f>_xlfn.XLOOKUP(C431,customers!$A$1:$A$1001,customers!$G$1:$G$1001,,0)</f>
        <v>United States</v>
      </c>
      <c r="I431" t="str">
        <f>INDEX(products!$A$1:$G$49, MATCH(orders!$D431,products!$A$1:$A$49,0), MATCH(I$1,products!$A$1:$G$1,0))</f>
        <v>Ara</v>
      </c>
      <c r="J431" t="str">
        <f>INDEX(products!$A$1:$G$49, MATCH(orders!$D431,products!$A$1:$A$49,0), MATCH(J$1,products!$A$1:$G$1,0))</f>
        <v>L</v>
      </c>
      <c r="K431" s="4">
        <f>INDEX(products!$A$1:$G$49, MATCH(orders!$D431,products!$A$1:$A$49,0), MATCH(K$1,products!$A$1:$G$1,0))</f>
        <v>1</v>
      </c>
      <c r="L431" s="5">
        <f>INDEX(products!$A$1:$G$49, MATCH(orders!$D431,products!$A$1:$A$49,0), MATCH(L$1,products!$A$1:$G$1,0))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 = 0, "", _xlfn.XLOOKUP(C432,customers!$A$1:$A$1001,customers!$C$1:$C$1001,,0))</f>
        <v>mkippenby@dion.ne.jp</v>
      </c>
      <c r="H432" s="2" t="str">
        <f>_xlfn.XLOOKUP(C432,customers!$A$1:$A$1001,customers!$G$1:$G$1001,,0)</f>
        <v>United States</v>
      </c>
      <c r="I432" t="str">
        <f>INDEX(products!$A$1:$G$49, MATCH(orders!$D432,products!$A$1:$A$49,0), MATCH(I$1,products!$A$1:$G$1,0))</f>
        <v>Rob</v>
      </c>
      <c r="J432" t="str">
        <f>INDEX(products!$A$1:$G$49, MATCH(orders!$D432,products!$A$1:$A$49,0), MATCH(J$1,products!$A$1:$G$1,0))</f>
        <v>D</v>
      </c>
      <c r="K432" s="4">
        <f>INDEX(products!$A$1:$G$49, MATCH(orders!$D432,products!$A$1:$A$49,0), MATCH(K$1,products!$A$1:$G$1,0))</f>
        <v>0.2</v>
      </c>
      <c r="L432" s="5">
        <f>INDEX(products!$A$1:$G$49, MATCH(orders!$D432,products!$A$1:$A$49,0), MATCH(L$1,products!$A$1:$G$1,0))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 = 0, "", _xlfn.XLOOKUP(C433,customers!$A$1:$A$1001,customers!$C$1:$C$1001,,0))</f>
        <v>wransonbz@ted.com</v>
      </c>
      <c r="H433" s="2" t="str">
        <f>_xlfn.XLOOKUP(C433,customers!$A$1:$A$1001,customers!$G$1:$G$1001,,0)</f>
        <v>Ireland</v>
      </c>
      <c r="I433" t="str">
        <f>INDEX(products!$A$1:$G$49, MATCH(orders!$D433,products!$A$1:$A$49,0), MATCH(I$1,products!$A$1:$G$1,0))</f>
        <v>Exc</v>
      </c>
      <c r="J433" t="str">
        <f>INDEX(products!$A$1:$G$49, MATCH(orders!$D433,products!$A$1:$A$49,0), MATCH(J$1,products!$A$1:$G$1,0))</f>
        <v>D</v>
      </c>
      <c r="K433" s="4">
        <f>INDEX(products!$A$1:$G$49, MATCH(orders!$D433,products!$A$1:$A$49,0), MATCH(K$1,products!$A$1:$G$1,0))</f>
        <v>2.5</v>
      </c>
      <c r="L433" s="5">
        <f>INDEX(products!$A$1:$G$49, MATCH(orders!$D433,products!$A$1:$A$49,0), MATCH(L$1,products!$A$1:$G$1,0))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 = 0, "", _xlfn.XLOOKUP(C434,customers!$A$1:$A$1001,customers!$C$1:$C$1001,,0))</f>
        <v/>
      </c>
      <c r="H434" s="2" t="str">
        <f>_xlfn.XLOOKUP(C434,customers!$A$1:$A$1001,customers!$G$1:$G$1001,,0)</f>
        <v>United States</v>
      </c>
      <c r="I434" t="str">
        <f>INDEX(products!$A$1:$G$49, MATCH(orders!$D434,products!$A$1:$A$49,0), MATCH(I$1,products!$A$1:$G$1,0))</f>
        <v>Ara</v>
      </c>
      <c r="J434" t="str">
        <f>INDEX(products!$A$1:$G$49, MATCH(orders!$D434,products!$A$1:$A$49,0), MATCH(J$1,products!$A$1:$G$1,0))</f>
        <v>M</v>
      </c>
      <c r="K434" s="4">
        <f>INDEX(products!$A$1:$G$49, MATCH(orders!$D434,products!$A$1:$A$49,0), MATCH(K$1,products!$A$1:$G$1,0))</f>
        <v>1</v>
      </c>
      <c r="L434" s="5">
        <f>INDEX(products!$A$1:$G$49, MATCH(orders!$D434,products!$A$1:$A$49,0), MATCH(L$1,products!$A$1:$G$1,0))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 = 0, "", _xlfn.XLOOKUP(C435,customers!$A$1:$A$1001,customers!$C$1:$C$1001,,0))</f>
        <v>lrignoldc1@miibeian.gov.cn</v>
      </c>
      <c r="H435" s="2" t="str">
        <f>_xlfn.XLOOKUP(C435,customers!$A$1:$A$1001,customers!$G$1:$G$1001,,0)</f>
        <v>United States</v>
      </c>
      <c r="I435" t="str">
        <f>INDEX(products!$A$1:$G$49, MATCH(orders!$D435,products!$A$1:$A$49,0), MATCH(I$1,products!$A$1:$G$1,0))</f>
        <v>Lib</v>
      </c>
      <c r="J435" t="str">
        <f>INDEX(products!$A$1:$G$49, MATCH(orders!$D435,products!$A$1:$A$49,0), MATCH(J$1,products!$A$1:$G$1,0))</f>
        <v>M</v>
      </c>
      <c r="K435" s="4">
        <f>INDEX(products!$A$1:$G$49, MATCH(orders!$D435,products!$A$1:$A$49,0), MATCH(K$1,products!$A$1:$G$1,0))</f>
        <v>2.5</v>
      </c>
      <c r="L435" s="5">
        <f>INDEX(products!$A$1:$G$49, MATCH(orders!$D435,products!$A$1:$A$49,0), MATCH(L$1,products!$A$1:$G$1,0))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 = 0, "", _xlfn.XLOOKUP(C436,customers!$A$1:$A$1001,customers!$C$1:$C$1001,,0))</f>
        <v/>
      </c>
      <c r="H436" s="2" t="str">
        <f>_xlfn.XLOOKUP(C436,customers!$A$1:$A$1001,customers!$G$1:$G$1001,,0)</f>
        <v>United States</v>
      </c>
      <c r="I436" t="str">
        <f>INDEX(products!$A$1:$G$49, MATCH(orders!$D436,products!$A$1:$A$49,0), MATCH(I$1,products!$A$1:$G$1,0))</f>
        <v>Ara</v>
      </c>
      <c r="J436" t="str">
        <f>INDEX(products!$A$1:$G$49, MATCH(orders!$D436,products!$A$1:$A$49,0), MATCH(J$1,products!$A$1:$G$1,0))</f>
        <v>M</v>
      </c>
      <c r="K436" s="4">
        <f>INDEX(products!$A$1:$G$49, MATCH(orders!$D436,products!$A$1:$A$49,0), MATCH(K$1,products!$A$1:$G$1,0))</f>
        <v>1</v>
      </c>
      <c r="L436" s="5">
        <f>INDEX(products!$A$1:$G$49, MATCH(orders!$D436,products!$A$1:$A$49,0), MATCH(L$1,products!$A$1:$G$1,0))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 = 0, "", _xlfn.XLOOKUP(C437,customers!$A$1:$A$1001,customers!$C$1:$C$1001,,0))</f>
        <v>crowthornc3@msn.com</v>
      </c>
      <c r="H437" s="2" t="str">
        <f>_xlfn.XLOOKUP(C437,customers!$A$1:$A$1001,customers!$G$1:$G$1001,,0)</f>
        <v>United States</v>
      </c>
      <c r="I437" t="str">
        <f>INDEX(products!$A$1:$G$49, MATCH(orders!$D437,products!$A$1:$A$49,0), MATCH(I$1,products!$A$1:$G$1,0))</f>
        <v>Exc</v>
      </c>
      <c r="J437" t="str">
        <f>INDEX(products!$A$1:$G$49, MATCH(orders!$D437,products!$A$1:$A$49,0), MATCH(J$1,products!$A$1:$G$1,0))</f>
        <v>M</v>
      </c>
      <c r="K437" s="4">
        <f>INDEX(products!$A$1:$G$49, MATCH(orders!$D437,products!$A$1:$A$49,0), MATCH(K$1,products!$A$1:$G$1,0))</f>
        <v>0.5</v>
      </c>
      <c r="L437" s="5">
        <f>INDEX(products!$A$1:$G$49, MATCH(orders!$D437,products!$A$1:$A$49,0), MATCH(L$1,products!$A$1:$G$1,0))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 = 0, "", _xlfn.XLOOKUP(C438,customers!$A$1:$A$1001,customers!$C$1:$C$1001,,0))</f>
        <v>orylandc4@deviantart.com</v>
      </c>
      <c r="H438" s="2" t="str">
        <f>_xlfn.XLOOKUP(C438,customers!$A$1:$A$1001,customers!$G$1:$G$1001,,0)</f>
        <v>United States</v>
      </c>
      <c r="I438" t="str">
        <f>INDEX(products!$A$1:$G$49, MATCH(orders!$D438,products!$A$1:$A$49,0), MATCH(I$1,products!$A$1:$G$1,0))</f>
        <v>Lib</v>
      </c>
      <c r="J438" t="str">
        <f>INDEX(products!$A$1:$G$49, MATCH(orders!$D438,products!$A$1:$A$49,0), MATCH(J$1,products!$A$1:$G$1,0))</f>
        <v>L</v>
      </c>
      <c r="K438" s="4">
        <f>INDEX(products!$A$1:$G$49, MATCH(orders!$D438,products!$A$1:$A$49,0), MATCH(K$1,products!$A$1:$G$1,0))</f>
        <v>0.2</v>
      </c>
      <c r="L438" s="5">
        <f>INDEX(products!$A$1:$G$49, MATCH(orders!$D438,products!$A$1:$A$49,0), MATCH(L$1,products!$A$1:$G$1,0))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 = 0, "", _xlfn.XLOOKUP(C439,customers!$A$1:$A$1001,customers!$C$1:$C$1001,,0))</f>
        <v/>
      </c>
      <c r="H439" s="2" t="str">
        <f>_xlfn.XLOOKUP(C439,customers!$A$1:$A$1001,customers!$G$1:$G$1001,,0)</f>
        <v>United States</v>
      </c>
      <c r="I439" t="str">
        <f>INDEX(products!$A$1:$G$49, MATCH(orders!$D439,products!$A$1:$A$49,0), MATCH(I$1,products!$A$1:$G$1,0))</f>
        <v>Lib</v>
      </c>
      <c r="J439" t="str">
        <f>INDEX(products!$A$1:$G$49, MATCH(orders!$D439,products!$A$1:$A$49,0), MATCH(J$1,products!$A$1:$G$1,0))</f>
        <v>D</v>
      </c>
      <c r="K439" s="4">
        <f>INDEX(products!$A$1:$G$49, MATCH(orders!$D439,products!$A$1:$A$49,0), MATCH(K$1,products!$A$1:$G$1,0))</f>
        <v>2.5</v>
      </c>
      <c r="L439" s="5">
        <f>INDEX(products!$A$1:$G$49, MATCH(orders!$D439,products!$A$1:$A$49,0), MATCH(L$1,products!$A$1:$G$1,0))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 = 0, "", _xlfn.XLOOKUP(C440,customers!$A$1:$A$1001,customers!$C$1:$C$1001,,0))</f>
        <v>msesonck@census.gov</v>
      </c>
      <c r="H440" s="2" t="str">
        <f>_xlfn.XLOOKUP(C440,customers!$A$1:$A$1001,customers!$G$1:$G$1001,,0)</f>
        <v>United States</v>
      </c>
      <c r="I440" t="str">
        <f>INDEX(products!$A$1:$G$49, MATCH(orders!$D440,products!$A$1:$A$49,0), MATCH(I$1,products!$A$1:$G$1,0))</f>
        <v>Lib</v>
      </c>
      <c r="J440" t="str">
        <f>INDEX(products!$A$1:$G$49, MATCH(orders!$D440,products!$A$1:$A$49,0), MATCH(J$1,products!$A$1:$G$1,0))</f>
        <v>D</v>
      </c>
      <c r="K440" s="4">
        <f>INDEX(products!$A$1:$G$49, MATCH(orders!$D440,products!$A$1:$A$49,0), MATCH(K$1,products!$A$1:$G$1,0))</f>
        <v>0.5</v>
      </c>
      <c r="L440" s="5">
        <f>INDEX(products!$A$1:$G$49, MATCH(orders!$D440,products!$A$1:$A$49,0), MATCH(L$1,products!$A$1:$G$1,0))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 = 0, "", _xlfn.XLOOKUP(C441,customers!$A$1:$A$1001,customers!$C$1:$C$1001,,0))</f>
        <v>craglessc7@webmd.com</v>
      </c>
      <c r="H441" s="2" t="str">
        <f>_xlfn.XLOOKUP(C441,customers!$A$1:$A$1001,customers!$G$1:$G$1001,,0)</f>
        <v>Ireland</v>
      </c>
      <c r="I441" t="str">
        <f>INDEX(products!$A$1:$G$49, MATCH(orders!$D441,products!$A$1:$A$49,0), MATCH(I$1,products!$A$1:$G$1,0))</f>
        <v>Exc</v>
      </c>
      <c r="J441" t="str">
        <f>INDEX(products!$A$1:$G$49, MATCH(orders!$D441,products!$A$1:$A$49,0), MATCH(J$1,products!$A$1:$G$1,0))</f>
        <v>L</v>
      </c>
      <c r="K441" s="4">
        <f>INDEX(products!$A$1:$G$49, MATCH(orders!$D441,products!$A$1:$A$49,0), MATCH(K$1,products!$A$1:$G$1,0))</f>
        <v>0.5</v>
      </c>
      <c r="L441" s="5">
        <f>INDEX(products!$A$1:$G$49, MATCH(orders!$D441,products!$A$1:$A$49,0), MATCH(L$1,products!$A$1:$G$1,0))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 = 0, "", _xlfn.XLOOKUP(C442,customers!$A$1:$A$1001,customers!$C$1:$C$1001,,0))</f>
        <v>fhollowsc8@blogtalkradio.com</v>
      </c>
      <c r="H442" s="2" t="str">
        <f>_xlfn.XLOOKUP(C442,customers!$A$1:$A$1001,customers!$G$1:$G$1001,,0)</f>
        <v>United States</v>
      </c>
      <c r="I442" t="str">
        <f>INDEX(products!$A$1:$G$49, MATCH(orders!$D442,products!$A$1:$A$49,0), MATCH(I$1,products!$A$1:$G$1,0))</f>
        <v>Ara</v>
      </c>
      <c r="J442" t="str">
        <f>INDEX(products!$A$1:$G$49, MATCH(orders!$D442,products!$A$1:$A$49,0), MATCH(J$1,products!$A$1:$G$1,0))</f>
        <v>M</v>
      </c>
      <c r="K442" s="4">
        <f>INDEX(products!$A$1:$G$49, MATCH(orders!$D442,products!$A$1:$A$49,0), MATCH(K$1,products!$A$1:$G$1,0))</f>
        <v>2.5</v>
      </c>
      <c r="L442" s="5">
        <f>INDEX(products!$A$1:$G$49, MATCH(orders!$D442,products!$A$1:$A$49,0), MATCH(L$1,products!$A$1:$G$1,0))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 = 0, "", _xlfn.XLOOKUP(C443,customers!$A$1:$A$1001,customers!$C$1:$C$1001,,0))</f>
        <v>llathleiffc9@nationalgeographic.com</v>
      </c>
      <c r="H443" s="2" t="str">
        <f>_xlfn.XLOOKUP(C443,customers!$A$1:$A$1001,customers!$G$1:$G$1001,,0)</f>
        <v>Ireland</v>
      </c>
      <c r="I443" t="str">
        <f>INDEX(products!$A$1:$G$49, MATCH(orders!$D443,products!$A$1:$A$49,0), MATCH(I$1,products!$A$1:$G$1,0))</f>
        <v>Exc</v>
      </c>
      <c r="J443" t="str">
        <f>INDEX(products!$A$1:$G$49, MATCH(orders!$D443,products!$A$1:$A$49,0), MATCH(J$1,products!$A$1:$G$1,0))</f>
        <v>D</v>
      </c>
      <c r="K443" s="4">
        <f>INDEX(products!$A$1:$G$49, MATCH(orders!$D443,products!$A$1:$A$49,0), MATCH(K$1,products!$A$1:$G$1,0))</f>
        <v>1</v>
      </c>
      <c r="L443" s="5">
        <f>INDEX(products!$A$1:$G$49, MATCH(orders!$D443,products!$A$1:$A$49,0), MATCH(L$1,products!$A$1:$G$1,0))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 = 0, "", _xlfn.XLOOKUP(C444,customers!$A$1:$A$1001,customers!$C$1:$C$1001,,0))</f>
        <v>kheadsca@jalbum.net</v>
      </c>
      <c r="H444" s="2" t="str">
        <f>_xlfn.XLOOKUP(C444,customers!$A$1:$A$1001,customers!$G$1:$G$1001,,0)</f>
        <v>United States</v>
      </c>
      <c r="I444" t="str">
        <f>INDEX(products!$A$1:$G$49, MATCH(orders!$D444,products!$A$1:$A$49,0), MATCH(I$1,products!$A$1:$G$1,0))</f>
        <v>Rob</v>
      </c>
      <c r="J444" t="str">
        <f>INDEX(products!$A$1:$G$49, MATCH(orders!$D444,products!$A$1:$A$49,0), MATCH(J$1,products!$A$1:$G$1,0))</f>
        <v>L</v>
      </c>
      <c r="K444" s="4">
        <f>INDEX(products!$A$1:$G$49, MATCH(orders!$D444,products!$A$1:$A$49,0), MATCH(K$1,products!$A$1:$G$1,0))</f>
        <v>0.5</v>
      </c>
      <c r="L444" s="5">
        <f>INDEX(products!$A$1:$G$49, MATCH(orders!$D444,products!$A$1:$A$49,0), MATCH(L$1,products!$A$1:$G$1,0))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 = 0, "", _xlfn.XLOOKUP(C445,customers!$A$1:$A$1001,customers!$C$1:$C$1001,,0))</f>
        <v>tbownecb@unicef.org</v>
      </c>
      <c r="H445" s="2" t="str">
        <f>_xlfn.XLOOKUP(C445,customers!$A$1:$A$1001,customers!$G$1:$G$1001,,0)</f>
        <v>Ireland</v>
      </c>
      <c r="I445" t="str">
        <f>INDEX(products!$A$1:$G$49, MATCH(orders!$D445,products!$A$1:$A$49,0), MATCH(I$1,products!$A$1:$G$1,0))</f>
        <v>Exc</v>
      </c>
      <c r="J445" t="str">
        <f>INDEX(products!$A$1:$G$49, MATCH(orders!$D445,products!$A$1:$A$49,0), MATCH(J$1,products!$A$1:$G$1,0))</f>
        <v>L</v>
      </c>
      <c r="K445" s="4">
        <f>INDEX(products!$A$1:$G$49, MATCH(orders!$D445,products!$A$1:$A$49,0), MATCH(K$1,products!$A$1:$G$1,0))</f>
        <v>0.2</v>
      </c>
      <c r="L445" s="5">
        <f>INDEX(products!$A$1:$G$49, MATCH(orders!$D445,products!$A$1:$A$49,0), MATCH(L$1,products!$A$1:$G$1,0))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 = 0, "", _xlfn.XLOOKUP(C446,customers!$A$1:$A$1001,customers!$C$1:$C$1001,,0))</f>
        <v>rjacquemardcc@acquirethisname.com</v>
      </c>
      <c r="H446" s="2" t="str">
        <f>_xlfn.XLOOKUP(C446,customers!$A$1:$A$1001,customers!$G$1:$G$1001,,0)</f>
        <v>Ireland</v>
      </c>
      <c r="I446" t="str">
        <f>INDEX(products!$A$1:$G$49, MATCH(orders!$D446,products!$A$1:$A$49,0), MATCH(I$1,products!$A$1:$G$1,0))</f>
        <v>Exc</v>
      </c>
      <c r="J446" t="str">
        <f>INDEX(products!$A$1:$G$49, MATCH(orders!$D446,products!$A$1:$A$49,0), MATCH(J$1,products!$A$1:$G$1,0))</f>
        <v>M</v>
      </c>
      <c r="K446" s="4">
        <f>INDEX(products!$A$1:$G$49, MATCH(orders!$D446,products!$A$1:$A$49,0), MATCH(K$1,products!$A$1:$G$1,0))</f>
        <v>0.2</v>
      </c>
      <c r="L446" s="5">
        <f>INDEX(products!$A$1:$G$49, MATCH(orders!$D446,products!$A$1:$A$49,0), MATCH(L$1,products!$A$1:$G$1,0))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 = 0, "", _xlfn.XLOOKUP(C447,customers!$A$1:$A$1001,customers!$C$1:$C$1001,,0))</f>
        <v>kwarmancd@printfriendly.com</v>
      </c>
      <c r="H447" s="2" t="str">
        <f>_xlfn.XLOOKUP(C447,customers!$A$1:$A$1001,customers!$G$1:$G$1001,,0)</f>
        <v>Ireland</v>
      </c>
      <c r="I447" t="str">
        <f>INDEX(products!$A$1:$G$49, MATCH(orders!$D447,products!$A$1:$A$49,0), MATCH(I$1,products!$A$1:$G$1,0))</f>
        <v>Lib</v>
      </c>
      <c r="J447" t="str">
        <f>INDEX(products!$A$1:$G$49, MATCH(orders!$D447,products!$A$1:$A$49,0), MATCH(J$1,products!$A$1:$G$1,0))</f>
        <v>M</v>
      </c>
      <c r="K447" s="4">
        <f>INDEX(products!$A$1:$G$49, MATCH(orders!$D447,products!$A$1:$A$49,0), MATCH(K$1,products!$A$1:$G$1,0))</f>
        <v>2.5</v>
      </c>
      <c r="L447" s="5">
        <f>INDEX(products!$A$1:$G$49, MATCH(orders!$D447,products!$A$1:$A$49,0), MATCH(L$1,products!$A$1:$G$1,0))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 = 0, "", _xlfn.XLOOKUP(C448,customers!$A$1:$A$1001,customers!$C$1:$C$1001,,0))</f>
        <v>wcholomince@about.com</v>
      </c>
      <c r="H448" s="2" t="str">
        <f>_xlfn.XLOOKUP(C448,customers!$A$1:$A$1001,customers!$G$1:$G$1001,,0)</f>
        <v>United Kingdom</v>
      </c>
      <c r="I448" t="str">
        <f>INDEX(products!$A$1:$G$49, MATCH(orders!$D448,products!$A$1:$A$49,0), MATCH(I$1,products!$A$1:$G$1,0))</f>
        <v>Lib</v>
      </c>
      <c r="J448" t="str">
        <f>INDEX(products!$A$1:$G$49, MATCH(orders!$D448,products!$A$1:$A$49,0), MATCH(J$1,products!$A$1:$G$1,0))</f>
        <v>M</v>
      </c>
      <c r="K448" s="4">
        <f>INDEX(products!$A$1:$G$49, MATCH(orders!$D448,products!$A$1:$A$49,0), MATCH(K$1,products!$A$1:$G$1,0))</f>
        <v>0.5</v>
      </c>
      <c r="L448" s="5">
        <f>INDEX(products!$A$1:$G$49, MATCH(orders!$D448,products!$A$1:$A$49,0), MATCH(L$1,products!$A$1:$G$1,0))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 = 0, "", _xlfn.XLOOKUP(C449,customers!$A$1:$A$1001,customers!$C$1:$C$1001,,0))</f>
        <v>abraidmancf@census.gov</v>
      </c>
      <c r="H449" s="2" t="str">
        <f>_xlfn.XLOOKUP(C449,customers!$A$1:$A$1001,customers!$G$1:$G$1001,,0)</f>
        <v>United States</v>
      </c>
      <c r="I449" t="str">
        <f>INDEX(products!$A$1:$G$49, MATCH(orders!$D449,products!$A$1:$A$49,0), MATCH(I$1,products!$A$1:$G$1,0))</f>
        <v>Rob</v>
      </c>
      <c r="J449" t="str">
        <f>INDEX(products!$A$1:$G$49, MATCH(orders!$D449,products!$A$1:$A$49,0), MATCH(J$1,products!$A$1:$G$1,0))</f>
        <v>M</v>
      </c>
      <c r="K449" s="4">
        <f>INDEX(products!$A$1:$G$49, MATCH(orders!$D449,products!$A$1:$A$49,0), MATCH(K$1,products!$A$1:$G$1,0))</f>
        <v>0.5</v>
      </c>
      <c r="L449" s="5">
        <f>INDEX(products!$A$1:$G$49, MATCH(orders!$D449,products!$A$1:$A$49,0), MATCH(L$1,products!$A$1:$G$1,0))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 = 0, "", _xlfn.XLOOKUP(C450,customers!$A$1:$A$1001,customers!$C$1:$C$1001,,0))</f>
        <v>pdurbancg@symantec.com</v>
      </c>
      <c r="H450" s="2" t="str">
        <f>_xlfn.XLOOKUP(C450,customers!$A$1:$A$1001,customers!$G$1:$G$1001,,0)</f>
        <v>Ireland</v>
      </c>
      <c r="I450" t="str">
        <f>INDEX(products!$A$1:$G$49, MATCH(orders!$D450,products!$A$1:$A$49,0), MATCH(I$1,products!$A$1:$G$1,0))</f>
        <v>Rob</v>
      </c>
      <c r="J450" t="str">
        <f>INDEX(products!$A$1:$G$49, MATCH(orders!$D450,products!$A$1:$A$49,0), MATCH(J$1,products!$A$1:$G$1,0))</f>
        <v>L</v>
      </c>
      <c r="K450" s="4">
        <f>INDEX(products!$A$1:$G$49, MATCH(orders!$D450,products!$A$1:$A$49,0), MATCH(K$1,products!$A$1:$G$1,0))</f>
        <v>0.5</v>
      </c>
      <c r="L450" s="5">
        <f>INDEX(products!$A$1:$G$49, MATCH(orders!$D450,products!$A$1:$A$49,0), MATCH(L$1,products!$A$1:$G$1,0))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 = 0, "", _xlfn.XLOOKUP(C451,customers!$A$1:$A$1001,customers!$C$1:$C$1001,,0))</f>
        <v>aharroldch@miibeian.gov.cn</v>
      </c>
      <c r="H451" s="2" t="str">
        <f>_xlfn.XLOOKUP(C451,customers!$A$1:$A$1001,customers!$G$1:$G$1001,,0)</f>
        <v>United States</v>
      </c>
      <c r="I451" t="str">
        <f>INDEX(products!$A$1:$G$49, MATCH(orders!$D451,products!$A$1:$A$49,0), MATCH(I$1,products!$A$1:$G$1,0))</f>
        <v>Rob</v>
      </c>
      <c r="J451" t="str">
        <f>INDEX(products!$A$1:$G$49, MATCH(orders!$D451,products!$A$1:$A$49,0), MATCH(J$1,products!$A$1:$G$1,0))</f>
        <v>D</v>
      </c>
      <c r="K451" s="4">
        <f>INDEX(products!$A$1:$G$49, MATCH(orders!$D451,products!$A$1:$A$49,0), MATCH(K$1,products!$A$1:$G$1,0))</f>
        <v>0.2</v>
      </c>
      <c r="L451" s="5">
        <f>INDEX(products!$A$1:$G$49, MATCH(orders!$D451,products!$A$1:$A$49,0), MATCH(L$1,products!$A$1:$G$1,0))</f>
        <v>2.6849999999999996</v>
      </c>
      <c r="M451" s="5">
        <f t="shared" ref="M451:M514" si="21">L451*E451</f>
        <v>5.3699999999999992</v>
      </c>
      <c r="N451" t="str">
        <f t="shared" ref="N451:N514" si="22">IF(I451="Rob", "Robusta", IF(I451 = "Exc", "Excelsa", IF(I451 = "Ara", "Arabica", IF(I451 = "Lib", "Liberica", ""))))</f>
        <v>Robusta</v>
      </c>
      <c r="O451" t="str">
        <f t="shared" ref="O451:O514" si="23">IF(J451 = "M", "Medium", IF(J451 = "L", "Light", IF( J451 = "D", "Dark", "")))</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 = 0, "", _xlfn.XLOOKUP(C452,customers!$A$1:$A$1001,customers!$C$1:$C$1001,,0))</f>
        <v>spamphilonci@mlb.com</v>
      </c>
      <c r="H452" s="2" t="str">
        <f>_xlfn.XLOOKUP(C452,customers!$A$1:$A$1001,customers!$G$1:$G$1001,,0)</f>
        <v>Ireland</v>
      </c>
      <c r="I452" t="str">
        <f>INDEX(products!$A$1:$G$49, MATCH(orders!$D452,products!$A$1:$A$49,0), MATCH(I$1,products!$A$1:$G$1,0))</f>
        <v>Lib</v>
      </c>
      <c r="J452" t="str">
        <f>INDEX(products!$A$1:$G$49, MATCH(orders!$D452,products!$A$1:$A$49,0), MATCH(J$1,products!$A$1:$G$1,0))</f>
        <v>L</v>
      </c>
      <c r="K452" s="4">
        <f>INDEX(products!$A$1:$G$49, MATCH(orders!$D452,products!$A$1:$A$49,0), MATCH(K$1,products!$A$1:$G$1,0))</f>
        <v>0.2</v>
      </c>
      <c r="L452" s="5">
        <f>INDEX(products!$A$1:$G$49, MATCH(orders!$D452,products!$A$1:$A$49,0), MATCH(L$1,products!$A$1:$G$1,0))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 = 0, "", _xlfn.XLOOKUP(C453,customers!$A$1:$A$1001,customers!$C$1:$C$1001,,0))</f>
        <v>mspurdencj@exblog.jp</v>
      </c>
      <c r="H453" s="2" t="str">
        <f>_xlfn.XLOOKUP(C453,customers!$A$1:$A$1001,customers!$G$1:$G$1001,,0)</f>
        <v>United States</v>
      </c>
      <c r="I453" t="str">
        <f>INDEX(products!$A$1:$G$49, MATCH(orders!$D453,products!$A$1:$A$49,0), MATCH(I$1,products!$A$1:$G$1,0))</f>
        <v>Rob</v>
      </c>
      <c r="J453" t="str">
        <f>INDEX(products!$A$1:$G$49, MATCH(orders!$D453,products!$A$1:$A$49,0), MATCH(J$1,products!$A$1:$G$1,0))</f>
        <v>D</v>
      </c>
      <c r="K453" s="4">
        <f>INDEX(products!$A$1:$G$49, MATCH(orders!$D453,products!$A$1:$A$49,0), MATCH(K$1,products!$A$1:$G$1,0))</f>
        <v>2.5</v>
      </c>
      <c r="L453" s="5">
        <f>INDEX(products!$A$1:$G$49, MATCH(orders!$D453,products!$A$1:$A$49,0), MATCH(L$1,products!$A$1:$G$1,0))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 = 0, "", _xlfn.XLOOKUP(C454,customers!$A$1:$A$1001,customers!$C$1:$C$1001,,0))</f>
        <v>msesonck@census.gov</v>
      </c>
      <c r="H454" s="2" t="str">
        <f>_xlfn.XLOOKUP(C454,customers!$A$1:$A$1001,customers!$G$1:$G$1001,,0)</f>
        <v>United States</v>
      </c>
      <c r="I454" t="str">
        <f>INDEX(products!$A$1:$G$49, MATCH(orders!$D454,products!$A$1:$A$49,0), MATCH(I$1,products!$A$1:$G$1,0))</f>
        <v>Ara</v>
      </c>
      <c r="J454" t="str">
        <f>INDEX(products!$A$1:$G$49, MATCH(orders!$D454,products!$A$1:$A$49,0), MATCH(J$1,products!$A$1:$G$1,0))</f>
        <v>L</v>
      </c>
      <c r="K454" s="4">
        <f>INDEX(products!$A$1:$G$49, MATCH(orders!$D454,products!$A$1:$A$49,0), MATCH(K$1,products!$A$1:$G$1,0))</f>
        <v>0.2</v>
      </c>
      <c r="L454" s="5">
        <f>INDEX(products!$A$1:$G$49, MATCH(orders!$D454,products!$A$1:$A$49,0), MATCH(L$1,products!$A$1:$G$1,0))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 = 0, "", _xlfn.XLOOKUP(C455,customers!$A$1:$A$1001,customers!$C$1:$C$1001,,0))</f>
        <v>npirronecl@weibo.com</v>
      </c>
      <c r="H455" s="2" t="str">
        <f>_xlfn.XLOOKUP(C455,customers!$A$1:$A$1001,customers!$G$1:$G$1001,,0)</f>
        <v>United States</v>
      </c>
      <c r="I455" t="str">
        <f>INDEX(products!$A$1:$G$49, MATCH(orders!$D455,products!$A$1:$A$49,0), MATCH(I$1,products!$A$1:$G$1,0))</f>
        <v>Lib</v>
      </c>
      <c r="J455" t="str">
        <f>INDEX(products!$A$1:$G$49, MATCH(orders!$D455,products!$A$1:$A$49,0), MATCH(J$1,products!$A$1:$G$1,0))</f>
        <v>L</v>
      </c>
      <c r="K455" s="4">
        <f>INDEX(products!$A$1:$G$49, MATCH(orders!$D455,products!$A$1:$A$49,0), MATCH(K$1,products!$A$1:$G$1,0))</f>
        <v>0.5</v>
      </c>
      <c r="L455" s="5">
        <f>INDEX(products!$A$1:$G$49, MATCH(orders!$D455,products!$A$1:$A$49,0), MATCH(L$1,products!$A$1:$G$1,0))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 = 0, "", _xlfn.XLOOKUP(C456,customers!$A$1:$A$1001,customers!$C$1:$C$1001,,0))</f>
        <v>rcawleycm@yellowbook.com</v>
      </c>
      <c r="H456" s="2" t="str">
        <f>_xlfn.XLOOKUP(C456,customers!$A$1:$A$1001,customers!$G$1:$G$1001,,0)</f>
        <v>Ireland</v>
      </c>
      <c r="I456" t="str">
        <f>INDEX(products!$A$1:$G$49, MATCH(orders!$D456,products!$A$1:$A$49,0), MATCH(I$1,products!$A$1:$G$1,0))</f>
        <v>Rob</v>
      </c>
      <c r="J456" t="str">
        <f>INDEX(products!$A$1:$G$49, MATCH(orders!$D456,products!$A$1:$A$49,0), MATCH(J$1,products!$A$1:$G$1,0))</f>
        <v>D</v>
      </c>
      <c r="K456" s="4">
        <f>INDEX(products!$A$1:$G$49, MATCH(orders!$D456,products!$A$1:$A$49,0), MATCH(K$1,products!$A$1:$G$1,0))</f>
        <v>2.5</v>
      </c>
      <c r="L456" s="5">
        <f>INDEX(products!$A$1:$G$49, MATCH(orders!$D456,products!$A$1:$A$49,0), MATCH(L$1,products!$A$1:$G$1,0))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 = 0, "", _xlfn.XLOOKUP(C457,customers!$A$1:$A$1001,customers!$C$1:$C$1001,,0))</f>
        <v>sbarribalcn@microsoft.com</v>
      </c>
      <c r="H457" s="2" t="str">
        <f>_xlfn.XLOOKUP(C457,customers!$A$1:$A$1001,customers!$G$1:$G$1001,,0)</f>
        <v>Ireland</v>
      </c>
      <c r="I457" t="str">
        <f>INDEX(products!$A$1:$G$49, MATCH(orders!$D457,products!$A$1:$A$49,0), MATCH(I$1,products!$A$1:$G$1,0))</f>
        <v>Lib</v>
      </c>
      <c r="J457" t="str">
        <f>INDEX(products!$A$1:$G$49, MATCH(orders!$D457,products!$A$1:$A$49,0), MATCH(J$1,products!$A$1:$G$1,0))</f>
        <v>L</v>
      </c>
      <c r="K457" s="4">
        <f>INDEX(products!$A$1:$G$49, MATCH(orders!$D457,products!$A$1:$A$49,0), MATCH(K$1,products!$A$1:$G$1,0))</f>
        <v>0.2</v>
      </c>
      <c r="L457" s="5">
        <f>INDEX(products!$A$1:$G$49, MATCH(orders!$D457,products!$A$1:$A$49,0), MATCH(L$1,products!$A$1:$G$1,0))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 = 0, "", _xlfn.XLOOKUP(C458,customers!$A$1:$A$1001,customers!$C$1:$C$1001,,0))</f>
        <v>aadamidesco@bizjournals.com</v>
      </c>
      <c r="H458" s="2" t="str">
        <f>_xlfn.XLOOKUP(C458,customers!$A$1:$A$1001,customers!$G$1:$G$1001,,0)</f>
        <v>United Kingdom</v>
      </c>
      <c r="I458" t="str">
        <f>INDEX(products!$A$1:$G$49, MATCH(orders!$D458,products!$A$1:$A$49,0), MATCH(I$1,products!$A$1:$G$1,0))</f>
        <v>Rob</v>
      </c>
      <c r="J458" t="str">
        <f>INDEX(products!$A$1:$G$49, MATCH(orders!$D458,products!$A$1:$A$49,0), MATCH(J$1,products!$A$1:$G$1,0))</f>
        <v>D</v>
      </c>
      <c r="K458" s="4">
        <f>INDEX(products!$A$1:$G$49, MATCH(orders!$D458,products!$A$1:$A$49,0), MATCH(K$1,products!$A$1:$G$1,0))</f>
        <v>2.5</v>
      </c>
      <c r="L458" s="5">
        <f>INDEX(products!$A$1:$G$49, MATCH(orders!$D458,products!$A$1:$A$49,0), MATCH(L$1,products!$A$1:$G$1,0))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 = 0, "", _xlfn.XLOOKUP(C459,customers!$A$1:$A$1001,customers!$C$1:$C$1001,,0))</f>
        <v>cthowescp@craigslist.org</v>
      </c>
      <c r="H459" s="2" t="str">
        <f>_xlfn.XLOOKUP(C459,customers!$A$1:$A$1001,customers!$G$1:$G$1001,,0)</f>
        <v>United States</v>
      </c>
      <c r="I459" t="str">
        <f>INDEX(products!$A$1:$G$49, MATCH(orders!$D459,products!$A$1:$A$49,0), MATCH(I$1,products!$A$1:$G$1,0))</f>
        <v>Lib</v>
      </c>
      <c r="J459" t="str">
        <f>INDEX(products!$A$1:$G$49, MATCH(orders!$D459,products!$A$1:$A$49,0), MATCH(J$1,products!$A$1:$G$1,0))</f>
        <v>L</v>
      </c>
      <c r="K459" s="4">
        <f>INDEX(products!$A$1:$G$49, MATCH(orders!$D459,products!$A$1:$A$49,0), MATCH(K$1,products!$A$1:$G$1,0))</f>
        <v>0.5</v>
      </c>
      <c r="L459" s="5">
        <f>INDEX(products!$A$1:$G$49, MATCH(orders!$D459,products!$A$1:$A$49,0), MATCH(L$1,products!$A$1:$G$1,0))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 = 0, "", _xlfn.XLOOKUP(C460,customers!$A$1:$A$1001,customers!$C$1:$C$1001,,0))</f>
        <v>rwillowaycq@admin.ch</v>
      </c>
      <c r="H460" s="2" t="str">
        <f>_xlfn.XLOOKUP(C460,customers!$A$1:$A$1001,customers!$G$1:$G$1001,,0)</f>
        <v>United States</v>
      </c>
      <c r="I460" t="str">
        <f>INDEX(products!$A$1:$G$49, MATCH(orders!$D460,products!$A$1:$A$49,0), MATCH(I$1,products!$A$1:$G$1,0))</f>
        <v>Ara</v>
      </c>
      <c r="J460" t="str">
        <f>INDEX(products!$A$1:$G$49, MATCH(orders!$D460,products!$A$1:$A$49,0), MATCH(J$1,products!$A$1:$G$1,0))</f>
        <v>M</v>
      </c>
      <c r="K460" s="4">
        <f>INDEX(products!$A$1:$G$49, MATCH(orders!$D460,products!$A$1:$A$49,0), MATCH(K$1,products!$A$1:$G$1,0))</f>
        <v>1</v>
      </c>
      <c r="L460" s="5">
        <f>INDEX(products!$A$1:$G$49, MATCH(orders!$D460,products!$A$1:$A$49,0), MATCH(L$1,products!$A$1:$G$1,0))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 = 0, "", _xlfn.XLOOKUP(C461,customers!$A$1:$A$1001,customers!$C$1:$C$1001,,0))</f>
        <v>aelwincr@privacy.gov.au</v>
      </c>
      <c r="H461" s="2" t="str">
        <f>_xlfn.XLOOKUP(C461,customers!$A$1:$A$1001,customers!$G$1:$G$1001,,0)</f>
        <v>United States</v>
      </c>
      <c r="I461" t="str">
        <f>INDEX(products!$A$1:$G$49, MATCH(orders!$D461,products!$A$1:$A$49,0), MATCH(I$1,products!$A$1:$G$1,0))</f>
        <v>Lib</v>
      </c>
      <c r="J461" t="str">
        <f>INDEX(products!$A$1:$G$49, MATCH(orders!$D461,products!$A$1:$A$49,0), MATCH(J$1,products!$A$1:$G$1,0))</f>
        <v>L</v>
      </c>
      <c r="K461" s="4">
        <f>INDEX(products!$A$1:$G$49, MATCH(orders!$D461,products!$A$1:$A$49,0), MATCH(K$1,products!$A$1:$G$1,0))</f>
        <v>0.2</v>
      </c>
      <c r="L461" s="5">
        <f>INDEX(products!$A$1:$G$49, MATCH(orders!$D461,products!$A$1:$A$49,0), MATCH(L$1,products!$A$1:$G$1,0))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 = 0, "", _xlfn.XLOOKUP(C462,customers!$A$1:$A$1001,customers!$C$1:$C$1001,,0))</f>
        <v>abilbrookcs@booking.com</v>
      </c>
      <c r="H462" s="2" t="str">
        <f>_xlfn.XLOOKUP(C462,customers!$A$1:$A$1001,customers!$G$1:$G$1001,,0)</f>
        <v>Ireland</v>
      </c>
      <c r="I462" t="str">
        <f>INDEX(products!$A$1:$G$49, MATCH(orders!$D462,products!$A$1:$A$49,0), MATCH(I$1,products!$A$1:$G$1,0))</f>
        <v>Rob</v>
      </c>
      <c r="J462" t="str">
        <f>INDEX(products!$A$1:$G$49, MATCH(orders!$D462,products!$A$1:$A$49,0), MATCH(J$1,products!$A$1:$G$1,0))</f>
        <v>D</v>
      </c>
      <c r="K462" s="4">
        <f>INDEX(products!$A$1:$G$49, MATCH(orders!$D462,products!$A$1:$A$49,0), MATCH(K$1,products!$A$1:$G$1,0))</f>
        <v>0.5</v>
      </c>
      <c r="L462" s="5">
        <f>INDEX(products!$A$1:$G$49, MATCH(orders!$D462,products!$A$1:$A$49,0), MATCH(L$1,products!$A$1:$G$1,0))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 = 0, "", _xlfn.XLOOKUP(C463,customers!$A$1:$A$1001,customers!$C$1:$C$1001,,0))</f>
        <v>rmckallct@sakura.ne.jp</v>
      </c>
      <c r="H463" s="2" t="str">
        <f>_xlfn.XLOOKUP(C463,customers!$A$1:$A$1001,customers!$G$1:$G$1001,,0)</f>
        <v>United Kingdom</v>
      </c>
      <c r="I463" t="str">
        <f>INDEX(products!$A$1:$G$49, MATCH(orders!$D463,products!$A$1:$A$49,0), MATCH(I$1,products!$A$1:$G$1,0))</f>
        <v>Rob</v>
      </c>
      <c r="J463" t="str">
        <f>INDEX(products!$A$1:$G$49, MATCH(orders!$D463,products!$A$1:$A$49,0), MATCH(J$1,products!$A$1:$G$1,0))</f>
        <v>D</v>
      </c>
      <c r="K463" s="4">
        <f>INDEX(products!$A$1:$G$49, MATCH(orders!$D463,products!$A$1:$A$49,0), MATCH(K$1,products!$A$1:$G$1,0))</f>
        <v>0.2</v>
      </c>
      <c r="L463" s="5">
        <f>INDEX(products!$A$1:$G$49, MATCH(orders!$D463,products!$A$1:$A$49,0), MATCH(L$1,products!$A$1:$G$1,0))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 = 0, "", _xlfn.XLOOKUP(C464,customers!$A$1:$A$1001,customers!$C$1:$C$1001,,0))</f>
        <v>bdailecu@vistaprint.com</v>
      </c>
      <c r="H464" s="2" t="str">
        <f>_xlfn.XLOOKUP(C464,customers!$A$1:$A$1001,customers!$G$1:$G$1001,,0)</f>
        <v>United States</v>
      </c>
      <c r="I464" t="str">
        <f>INDEX(products!$A$1:$G$49, MATCH(orders!$D464,products!$A$1:$A$49,0), MATCH(I$1,products!$A$1:$G$1,0))</f>
        <v>Ara</v>
      </c>
      <c r="J464" t="str">
        <f>INDEX(products!$A$1:$G$49, MATCH(orders!$D464,products!$A$1:$A$49,0), MATCH(J$1,products!$A$1:$G$1,0))</f>
        <v>D</v>
      </c>
      <c r="K464" s="4">
        <f>INDEX(products!$A$1:$G$49, MATCH(orders!$D464,products!$A$1:$A$49,0), MATCH(K$1,products!$A$1:$G$1,0))</f>
        <v>1</v>
      </c>
      <c r="L464" s="5">
        <f>INDEX(products!$A$1:$G$49, MATCH(orders!$D464,products!$A$1:$A$49,0), MATCH(L$1,products!$A$1:$G$1,0))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 = 0, "", _xlfn.XLOOKUP(C465,customers!$A$1:$A$1001,customers!$C$1:$C$1001,,0))</f>
        <v>atrehernecv@state.tx.us</v>
      </c>
      <c r="H465" s="2" t="str">
        <f>_xlfn.XLOOKUP(C465,customers!$A$1:$A$1001,customers!$G$1:$G$1001,,0)</f>
        <v>Ireland</v>
      </c>
      <c r="I465" t="str">
        <f>INDEX(products!$A$1:$G$49, MATCH(orders!$D465,products!$A$1:$A$49,0), MATCH(I$1,products!$A$1:$G$1,0))</f>
        <v>Exc</v>
      </c>
      <c r="J465" t="str">
        <f>INDEX(products!$A$1:$G$49, MATCH(orders!$D465,products!$A$1:$A$49,0), MATCH(J$1,products!$A$1:$G$1,0))</f>
        <v>M</v>
      </c>
      <c r="K465" s="4">
        <f>INDEX(products!$A$1:$G$49, MATCH(orders!$D465,products!$A$1:$A$49,0), MATCH(K$1,products!$A$1:$G$1,0))</f>
        <v>1</v>
      </c>
      <c r="L465" s="5">
        <f>INDEX(products!$A$1:$G$49, MATCH(orders!$D465,products!$A$1:$A$49,0), MATCH(L$1,products!$A$1:$G$1,0))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 = 0, "", _xlfn.XLOOKUP(C466,customers!$A$1:$A$1001,customers!$C$1:$C$1001,,0))</f>
        <v>abrentnallcw@biglobe.ne.jp</v>
      </c>
      <c r="H466" s="2" t="str">
        <f>_xlfn.XLOOKUP(C466,customers!$A$1:$A$1001,customers!$G$1:$G$1001,,0)</f>
        <v>United Kingdom</v>
      </c>
      <c r="I466" t="str">
        <f>INDEX(products!$A$1:$G$49, MATCH(orders!$D466,products!$A$1:$A$49,0), MATCH(I$1,products!$A$1:$G$1,0))</f>
        <v>Lib</v>
      </c>
      <c r="J466" t="str">
        <f>INDEX(products!$A$1:$G$49, MATCH(orders!$D466,products!$A$1:$A$49,0), MATCH(J$1,products!$A$1:$G$1,0))</f>
        <v>D</v>
      </c>
      <c r="K466" s="4">
        <f>INDEX(products!$A$1:$G$49, MATCH(orders!$D466,products!$A$1:$A$49,0), MATCH(K$1,products!$A$1:$G$1,0))</f>
        <v>2.5</v>
      </c>
      <c r="L466" s="5">
        <f>INDEX(products!$A$1:$G$49, MATCH(orders!$D466,products!$A$1:$A$49,0), MATCH(L$1,products!$A$1:$G$1,0))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 = 0, "", _xlfn.XLOOKUP(C467,customers!$A$1:$A$1001,customers!$C$1:$C$1001,,0))</f>
        <v>ddrinkallcx@psu.edu</v>
      </c>
      <c r="H467" s="2" t="str">
        <f>_xlfn.XLOOKUP(C467,customers!$A$1:$A$1001,customers!$G$1:$G$1001,,0)</f>
        <v>United States</v>
      </c>
      <c r="I467" t="str">
        <f>INDEX(products!$A$1:$G$49, MATCH(orders!$D467,products!$A$1:$A$49,0), MATCH(I$1,products!$A$1:$G$1,0))</f>
        <v>Rob</v>
      </c>
      <c r="J467" t="str">
        <f>INDEX(products!$A$1:$G$49, MATCH(orders!$D467,products!$A$1:$A$49,0), MATCH(J$1,products!$A$1:$G$1,0))</f>
        <v>D</v>
      </c>
      <c r="K467" s="4">
        <f>INDEX(products!$A$1:$G$49, MATCH(orders!$D467,products!$A$1:$A$49,0), MATCH(K$1,products!$A$1:$G$1,0))</f>
        <v>2.5</v>
      </c>
      <c r="L467" s="5">
        <f>INDEX(products!$A$1:$G$49, MATCH(orders!$D467,products!$A$1:$A$49,0), MATCH(L$1,products!$A$1:$G$1,0))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 = 0, "", _xlfn.XLOOKUP(C468,customers!$A$1:$A$1001,customers!$C$1:$C$1001,,0))</f>
        <v>dkornelcy@cyberchimps.com</v>
      </c>
      <c r="H468" s="2" t="str">
        <f>_xlfn.XLOOKUP(C468,customers!$A$1:$A$1001,customers!$G$1:$G$1001,,0)</f>
        <v>United States</v>
      </c>
      <c r="I468" t="str">
        <f>INDEX(products!$A$1:$G$49, MATCH(orders!$D468,products!$A$1:$A$49,0), MATCH(I$1,products!$A$1:$G$1,0))</f>
        <v>Ara</v>
      </c>
      <c r="J468" t="str">
        <f>INDEX(products!$A$1:$G$49, MATCH(orders!$D468,products!$A$1:$A$49,0), MATCH(J$1,products!$A$1:$G$1,0))</f>
        <v>D</v>
      </c>
      <c r="K468" s="4">
        <f>INDEX(products!$A$1:$G$49, MATCH(orders!$D468,products!$A$1:$A$49,0), MATCH(K$1,products!$A$1:$G$1,0))</f>
        <v>0.2</v>
      </c>
      <c r="L468" s="5">
        <f>INDEX(products!$A$1:$G$49, MATCH(orders!$D468,products!$A$1:$A$49,0), MATCH(L$1,products!$A$1:$G$1,0))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 = 0, "", _xlfn.XLOOKUP(C469,customers!$A$1:$A$1001,customers!$C$1:$C$1001,,0))</f>
        <v>rlequeuxcz@newyorker.com</v>
      </c>
      <c r="H469" s="2" t="str">
        <f>_xlfn.XLOOKUP(C469,customers!$A$1:$A$1001,customers!$G$1:$G$1001,,0)</f>
        <v>United States</v>
      </c>
      <c r="I469" t="str">
        <f>INDEX(products!$A$1:$G$49, MATCH(orders!$D469,products!$A$1:$A$49,0), MATCH(I$1,products!$A$1:$G$1,0))</f>
        <v>Ara</v>
      </c>
      <c r="J469" t="str">
        <f>INDEX(products!$A$1:$G$49, MATCH(orders!$D469,products!$A$1:$A$49,0), MATCH(J$1,products!$A$1:$G$1,0))</f>
        <v>D</v>
      </c>
      <c r="K469" s="4">
        <f>INDEX(products!$A$1:$G$49, MATCH(orders!$D469,products!$A$1:$A$49,0), MATCH(K$1,products!$A$1:$G$1,0))</f>
        <v>0.5</v>
      </c>
      <c r="L469" s="5">
        <f>INDEX(products!$A$1:$G$49, MATCH(orders!$D469,products!$A$1:$A$49,0), MATCH(L$1,products!$A$1:$G$1,0))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 = 0, "", _xlfn.XLOOKUP(C470,customers!$A$1:$A$1001,customers!$C$1:$C$1001,,0))</f>
        <v>jmccaulld0@parallels.com</v>
      </c>
      <c r="H470" s="2" t="str">
        <f>_xlfn.XLOOKUP(C470,customers!$A$1:$A$1001,customers!$G$1:$G$1001,,0)</f>
        <v>United States</v>
      </c>
      <c r="I470" t="str">
        <f>INDEX(products!$A$1:$G$49, MATCH(orders!$D470,products!$A$1:$A$49,0), MATCH(I$1,products!$A$1:$G$1,0))</f>
        <v>Exc</v>
      </c>
      <c r="J470" t="str">
        <f>INDEX(products!$A$1:$G$49, MATCH(orders!$D470,products!$A$1:$A$49,0), MATCH(J$1,products!$A$1:$G$1,0))</f>
        <v>M</v>
      </c>
      <c r="K470" s="4">
        <f>INDEX(products!$A$1:$G$49, MATCH(orders!$D470,products!$A$1:$A$49,0), MATCH(K$1,products!$A$1:$G$1,0))</f>
        <v>1</v>
      </c>
      <c r="L470" s="5">
        <f>INDEX(products!$A$1:$G$49, MATCH(orders!$D470,products!$A$1:$A$49,0), MATCH(L$1,products!$A$1:$G$1,0))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 = 0, "", _xlfn.XLOOKUP(C471,customers!$A$1:$A$1001,customers!$C$1:$C$1001,,0))</f>
        <v>abrashda@plala.or.jp</v>
      </c>
      <c r="H471" s="2" t="str">
        <f>_xlfn.XLOOKUP(C471,customers!$A$1:$A$1001,customers!$G$1:$G$1001,,0)</f>
        <v>United States</v>
      </c>
      <c r="I471" t="str">
        <f>INDEX(products!$A$1:$G$49, MATCH(orders!$D471,products!$A$1:$A$49,0), MATCH(I$1,products!$A$1:$G$1,0))</f>
        <v>Exc</v>
      </c>
      <c r="J471" t="str">
        <f>INDEX(products!$A$1:$G$49, MATCH(orders!$D471,products!$A$1:$A$49,0), MATCH(J$1,products!$A$1:$G$1,0))</f>
        <v>L</v>
      </c>
      <c r="K471" s="4">
        <f>INDEX(products!$A$1:$G$49, MATCH(orders!$D471,products!$A$1:$A$49,0), MATCH(K$1,products!$A$1:$G$1,0))</f>
        <v>0.2</v>
      </c>
      <c r="L471" s="5">
        <f>INDEX(products!$A$1:$G$49, MATCH(orders!$D471,products!$A$1:$A$49,0), MATCH(L$1,products!$A$1:$G$1,0))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 = 0, "", _xlfn.XLOOKUP(C472,customers!$A$1:$A$1001,customers!$C$1:$C$1001,,0))</f>
        <v>ahutchinsond2@imgur.com</v>
      </c>
      <c r="H472" s="2" t="str">
        <f>_xlfn.XLOOKUP(C472,customers!$A$1:$A$1001,customers!$G$1:$G$1001,,0)</f>
        <v>United States</v>
      </c>
      <c r="I472" t="str">
        <f>INDEX(products!$A$1:$G$49, MATCH(orders!$D472,products!$A$1:$A$49,0), MATCH(I$1,products!$A$1:$G$1,0))</f>
        <v>Ara</v>
      </c>
      <c r="J472" t="str">
        <f>INDEX(products!$A$1:$G$49, MATCH(orders!$D472,products!$A$1:$A$49,0), MATCH(J$1,products!$A$1:$G$1,0))</f>
        <v>M</v>
      </c>
      <c r="K472" s="4">
        <f>INDEX(products!$A$1:$G$49, MATCH(orders!$D472,products!$A$1:$A$49,0), MATCH(K$1,products!$A$1:$G$1,0))</f>
        <v>0.5</v>
      </c>
      <c r="L472" s="5">
        <f>INDEX(products!$A$1:$G$49, MATCH(orders!$D472,products!$A$1:$A$49,0), MATCH(L$1,products!$A$1:$G$1,0))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 = 0, "", _xlfn.XLOOKUP(C473,customers!$A$1:$A$1001,customers!$C$1:$C$1001,,0))</f>
        <v/>
      </c>
      <c r="H473" s="2" t="str">
        <f>_xlfn.XLOOKUP(C473,customers!$A$1:$A$1001,customers!$G$1:$G$1001,,0)</f>
        <v>United States</v>
      </c>
      <c r="I473" t="str">
        <f>INDEX(products!$A$1:$G$49, MATCH(orders!$D473,products!$A$1:$A$49,0), MATCH(I$1,products!$A$1:$G$1,0))</f>
        <v>Lib</v>
      </c>
      <c r="J473" t="str">
        <f>INDEX(products!$A$1:$G$49, MATCH(orders!$D473,products!$A$1:$A$49,0), MATCH(J$1,products!$A$1:$G$1,0))</f>
        <v>M</v>
      </c>
      <c r="K473" s="4">
        <f>INDEX(products!$A$1:$G$49, MATCH(orders!$D473,products!$A$1:$A$49,0), MATCH(K$1,products!$A$1:$G$1,0))</f>
        <v>2.5</v>
      </c>
      <c r="L473" s="5">
        <f>INDEX(products!$A$1:$G$49, MATCH(orders!$D473,products!$A$1:$A$49,0), MATCH(L$1,products!$A$1:$G$1,0))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 = 0, "", _xlfn.XLOOKUP(C474,customers!$A$1:$A$1001,customers!$C$1:$C$1001,,0))</f>
        <v>rdriversd4@hexun.com</v>
      </c>
      <c r="H474" s="2" t="str">
        <f>_xlfn.XLOOKUP(C474,customers!$A$1:$A$1001,customers!$G$1:$G$1001,,0)</f>
        <v>United States</v>
      </c>
      <c r="I474" t="str">
        <f>INDEX(products!$A$1:$G$49, MATCH(orders!$D474,products!$A$1:$A$49,0), MATCH(I$1,products!$A$1:$G$1,0))</f>
        <v>Ara</v>
      </c>
      <c r="J474" t="str">
        <f>INDEX(products!$A$1:$G$49, MATCH(orders!$D474,products!$A$1:$A$49,0), MATCH(J$1,products!$A$1:$G$1,0))</f>
        <v>D</v>
      </c>
      <c r="K474" s="4">
        <f>INDEX(products!$A$1:$G$49, MATCH(orders!$D474,products!$A$1:$A$49,0), MATCH(K$1,products!$A$1:$G$1,0))</f>
        <v>0.2</v>
      </c>
      <c r="L474" s="5">
        <f>INDEX(products!$A$1:$G$49, MATCH(orders!$D474,products!$A$1:$A$49,0), MATCH(L$1,products!$A$1:$G$1,0))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 = 0, "", _xlfn.XLOOKUP(C475,customers!$A$1:$A$1001,customers!$C$1:$C$1001,,0))</f>
        <v>hzeald5@google.de</v>
      </c>
      <c r="H475" s="2" t="str">
        <f>_xlfn.XLOOKUP(C475,customers!$A$1:$A$1001,customers!$G$1:$G$1001,,0)</f>
        <v>United States</v>
      </c>
      <c r="I475" t="str">
        <f>INDEX(products!$A$1:$G$49, MATCH(orders!$D475,products!$A$1:$A$49,0), MATCH(I$1,products!$A$1:$G$1,0))</f>
        <v>Ara</v>
      </c>
      <c r="J475" t="str">
        <f>INDEX(products!$A$1:$G$49, MATCH(orders!$D475,products!$A$1:$A$49,0), MATCH(J$1,products!$A$1:$G$1,0))</f>
        <v>L</v>
      </c>
      <c r="K475" s="4">
        <f>INDEX(products!$A$1:$G$49, MATCH(orders!$D475,products!$A$1:$A$49,0), MATCH(K$1,products!$A$1:$G$1,0))</f>
        <v>1</v>
      </c>
      <c r="L475" s="5">
        <f>INDEX(products!$A$1:$G$49, MATCH(orders!$D475,products!$A$1:$A$49,0), MATCH(L$1,products!$A$1:$G$1,0))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 = 0, "", _xlfn.XLOOKUP(C476,customers!$A$1:$A$1001,customers!$C$1:$C$1001,,0))</f>
        <v>gsmallcombed6@ucla.edu</v>
      </c>
      <c r="H476" s="2" t="str">
        <f>_xlfn.XLOOKUP(C476,customers!$A$1:$A$1001,customers!$G$1:$G$1001,,0)</f>
        <v>Ireland</v>
      </c>
      <c r="I476" t="str">
        <f>INDEX(products!$A$1:$G$49, MATCH(orders!$D476,products!$A$1:$A$49,0), MATCH(I$1,products!$A$1:$G$1,0))</f>
        <v>Exc</v>
      </c>
      <c r="J476" t="str">
        <f>INDEX(products!$A$1:$G$49, MATCH(orders!$D476,products!$A$1:$A$49,0), MATCH(J$1,products!$A$1:$G$1,0))</f>
        <v>M</v>
      </c>
      <c r="K476" s="4">
        <f>INDEX(products!$A$1:$G$49, MATCH(orders!$D476,products!$A$1:$A$49,0), MATCH(K$1,products!$A$1:$G$1,0))</f>
        <v>2.5</v>
      </c>
      <c r="L476" s="5">
        <f>INDEX(products!$A$1:$G$49, MATCH(orders!$D476,products!$A$1:$A$49,0), MATCH(L$1,products!$A$1:$G$1,0))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 = 0, "", _xlfn.XLOOKUP(C477,customers!$A$1:$A$1001,customers!$C$1:$C$1001,,0))</f>
        <v>ddibleyd7@feedburner.com</v>
      </c>
      <c r="H477" s="2" t="str">
        <f>_xlfn.XLOOKUP(C477,customers!$A$1:$A$1001,customers!$G$1:$G$1001,,0)</f>
        <v>United States</v>
      </c>
      <c r="I477" t="str">
        <f>INDEX(products!$A$1:$G$49, MATCH(orders!$D477,products!$A$1:$A$49,0), MATCH(I$1,products!$A$1:$G$1,0))</f>
        <v>Lib</v>
      </c>
      <c r="J477" t="str">
        <f>INDEX(products!$A$1:$G$49, MATCH(orders!$D477,products!$A$1:$A$49,0), MATCH(J$1,products!$A$1:$G$1,0))</f>
        <v>M</v>
      </c>
      <c r="K477" s="4">
        <f>INDEX(products!$A$1:$G$49, MATCH(orders!$D477,products!$A$1:$A$49,0), MATCH(K$1,products!$A$1:$G$1,0))</f>
        <v>0.2</v>
      </c>
      <c r="L477" s="5">
        <f>INDEX(products!$A$1:$G$49, MATCH(orders!$D477,products!$A$1:$A$49,0), MATCH(L$1,products!$A$1:$G$1,0))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 = 0, "", _xlfn.XLOOKUP(C478,customers!$A$1:$A$1001,customers!$C$1:$C$1001,,0))</f>
        <v>gdimitrioud8@chronoengine.com</v>
      </c>
      <c r="H478" s="2" t="str">
        <f>_xlfn.XLOOKUP(C478,customers!$A$1:$A$1001,customers!$G$1:$G$1001,,0)</f>
        <v>United States</v>
      </c>
      <c r="I478" t="str">
        <f>INDEX(products!$A$1:$G$49, MATCH(orders!$D478,products!$A$1:$A$49,0), MATCH(I$1,products!$A$1:$G$1,0))</f>
        <v>Exc</v>
      </c>
      <c r="J478" t="str">
        <f>INDEX(products!$A$1:$G$49, MATCH(orders!$D478,products!$A$1:$A$49,0), MATCH(J$1,products!$A$1:$G$1,0))</f>
        <v>L</v>
      </c>
      <c r="K478" s="4">
        <f>INDEX(products!$A$1:$G$49, MATCH(orders!$D478,products!$A$1:$A$49,0), MATCH(K$1,products!$A$1:$G$1,0))</f>
        <v>0.2</v>
      </c>
      <c r="L478" s="5">
        <f>INDEX(products!$A$1:$G$49, MATCH(orders!$D478,products!$A$1:$A$49,0), MATCH(L$1,products!$A$1:$G$1,0))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 = 0, "", _xlfn.XLOOKUP(C479,customers!$A$1:$A$1001,customers!$C$1:$C$1001,,0))</f>
        <v>fflanagand9@woothemes.com</v>
      </c>
      <c r="H479" s="2" t="str">
        <f>_xlfn.XLOOKUP(C479,customers!$A$1:$A$1001,customers!$G$1:$G$1001,,0)</f>
        <v>United States</v>
      </c>
      <c r="I479" t="str">
        <f>INDEX(products!$A$1:$G$49, MATCH(orders!$D479,products!$A$1:$A$49,0), MATCH(I$1,products!$A$1:$G$1,0))</f>
        <v>Lib</v>
      </c>
      <c r="J479" t="str">
        <f>INDEX(products!$A$1:$G$49, MATCH(orders!$D479,products!$A$1:$A$49,0), MATCH(J$1,products!$A$1:$G$1,0))</f>
        <v>M</v>
      </c>
      <c r="K479" s="4">
        <f>INDEX(products!$A$1:$G$49, MATCH(orders!$D479,products!$A$1:$A$49,0), MATCH(K$1,products!$A$1:$G$1,0))</f>
        <v>0.2</v>
      </c>
      <c r="L479" s="5">
        <f>INDEX(products!$A$1:$G$49, MATCH(orders!$D479,products!$A$1:$A$49,0), MATCH(L$1,products!$A$1:$G$1,0))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 = 0, "", _xlfn.XLOOKUP(C480,customers!$A$1:$A$1001,customers!$C$1:$C$1001,,0))</f>
        <v>abrashda@plala.or.jp</v>
      </c>
      <c r="H480" s="2" t="str">
        <f>_xlfn.XLOOKUP(C480,customers!$A$1:$A$1001,customers!$G$1:$G$1001,,0)</f>
        <v>United States</v>
      </c>
      <c r="I480" t="str">
        <f>INDEX(products!$A$1:$G$49, MATCH(orders!$D480,products!$A$1:$A$49,0), MATCH(I$1,products!$A$1:$G$1,0))</f>
        <v>Rob</v>
      </c>
      <c r="J480" t="str">
        <f>INDEX(products!$A$1:$G$49, MATCH(orders!$D480,products!$A$1:$A$49,0), MATCH(J$1,products!$A$1:$G$1,0))</f>
        <v>D</v>
      </c>
      <c r="K480" s="4">
        <f>INDEX(products!$A$1:$G$49, MATCH(orders!$D480,products!$A$1:$A$49,0), MATCH(K$1,products!$A$1:$G$1,0))</f>
        <v>1</v>
      </c>
      <c r="L480" s="5">
        <f>INDEX(products!$A$1:$G$49, MATCH(orders!$D480,products!$A$1:$A$49,0), MATCH(L$1,products!$A$1:$G$1,0))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 = 0, "", _xlfn.XLOOKUP(C481,customers!$A$1:$A$1001,customers!$C$1:$C$1001,,0))</f>
        <v>abrashda@plala.or.jp</v>
      </c>
      <c r="H481" s="2" t="str">
        <f>_xlfn.XLOOKUP(C481,customers!$A$1:$A$1001,customers!$G$1:$G$1001,,0)</f>
        <v>United States</v>
      </c>
      <c r="I481" t="str">
        <f>INDEX(products!$A$1:$G$49, MATCH(orders!$D481,products!$A$1:$A$49,0), MATCH(I$1,products!$A$1:$G$1,0))</f>
        <v>Exc</v>
      </c>
      <c r="J481" t="str">
        <f>INDEX(products!$A$1:$G$49, MATCH(orders!$D481,products!$A$1:$A$49,0), MATCH(J$1,products!$A$1:$G$1,0))</f>
        <v>M</v>
      </c>
      <c r="K481" s="4">
        <f>INDEX(products!$A$1:$G$49, MATCH(orders!$D481,products!$A$1:$A$49,0), MATCH(K$1,products!$A$1:$G$1,0))</f>
        <v>2.5</v>
      </c>
      <c r="L481" s="5">
        <f>INDEX(products!$A$1:$G$49, MATCH(orders!$D481,products!$A$1:$A$49,0), MATCH(L$1,products!$A$1:$G$1,0))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 = 0, "", _xlfn.XLOOKUP(C482,customers!$A$1:$A$1001,customers!$C$1:$C$1001,,0))</f>
        <v>abrashda@plala.or.jp</v>
      </c>
      <c r="H482" s="2" t="str">
        <f>_xlfn.XLOOKUP(C482,customers!$A$1:$A$1001,customers!$G$1:$G$1001,,0)</f>
        <v>United States</v>
      </c>
      <c r="I482" t="str">
        <f>INDEX(products!$A$1:$G$49, MATCH(orders!$D482,products!$A$1:$A$49,0), MATCH(I$1,products!$A$1:$G$1,0))</f>
        <v>Exc</v>
      </c>
      <c r="J482" t="str">
        <f>INDEX(products!$A$1:$G$49, MATCH(orders!$D482,products!$A$1:$A$49,0), MATCH(J$1,products!$A$1:$G$1,0))</f>
        <v>M</v>
      </c>
      <c r="K482" s="4">
        <f>INDEX(products!$A$1:$G$49, MATCH(orders!$D482,products!$A$1:$A$49,0), MATCH(K$1,products!$A$1:$G$1,0))</f>
        <v>0.2</v>
      </c>
      <c r="L482" s="5">
        <f>INDEX(products!$A$1:$G$49, MATCH(orders!$D482,products!$A$1:$A$49,0), MATCH(L$1,products!$A$1:$G$1,0))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 = 0, "", _xlfn.XLOOKUP(C483,customers!$A$1:$A$1001,customers!$C$1:$C$1001,,0))</f>
        <v>nizhakovdd@aol.com</v>
      </c>
      <c r="H483" s="2" t="str">
        <f>_xlfn.XLOOKUP(C483,customers!$A$1:$A$1001,customers!$G$1:$G$1001,,0)</f>
        <v>United Kingdom</v>
      </c>
      <c r="I483" t="str">
        <f>INDEX(products!$A$1:$G$49, MATCH(orders!$D483,products!$A$1:$A$49,0), MATCH(I$1,products!$A$1:$G$1,0))</f>
        <v>Rob</v>
      </c>
      <c r="J483" t="str">
        <f>INDEX(products!$A$1:$G$49, MATCH(orders!$D483,products!$A$1:$A$49,0), MATCH(J$1,products!$A$1:$G$1,0))</f>
        <v>L</v>
      </c>
      <c r="K483" s="4">
        <f>INDEX(products!$A$1:$G$49, MATCH(orders!$D483,products!$A$1:$A$49,0), MATCH(K$1,products!$A$1:$G$1,0))</f>
        <v>1</v>
      </c>
      <c r="L483" s="5">
        <f>INDEX(products!$A$1:$G$49, MATCH(orders!$D483,products!$A$1:$A$49,0), MATCH(L$1,products!$A$1:$G$1,0))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 = 0, "", _xlfn.XLOOKUP(C484,customers!$A$1:$A$1001,customers!$C$1:$C$1001,,0))</f>
        <v>skeetsde@answers.com</v>
      </c>
      <c r="H484" s="2" t="str">
        <f>_xlfn.XLOOKUP(C484,customers!$A$1:$A$1001,customers!$G$1:$G$1001,,0)</f>
        <v>United States</v>
      </c>
      <c r="I484" t="str">
        <f>INDEX(products!$A$1:$G$49, MATCH(orders!$D484,products!$A$1:$A$49,0), MATCH(I$1,products!$A$1:$G$1,0))</f>
        <v>Exc</v>
      </c>
      <c r="J484" t="str">
        <f>INDEX(products!$A$1:$G$49, MATCH(orders!$D484,products!$A$1:$A$49,0), MATCH(J$1,products!$A$1:$G$1,0))</f>
        <v>D</v>
      </c>
      <c r="K484" s="4">
        <f>INDEX(products!$A$1:$G$49, MATCH(orders!$D484,products!$A$1:$A$49,0), MATCH(K$1,products!$A$1:$G$1,0))</f>
        <v>2.5</v>
      </c>
      <c r="L484" s="5">
        <f>INDEX(products!$A$1:$G$49, MATCH(orders!$D484,products!$A$1:$A$49,0), MATCH(L$1,products!$A$1:$G$1,0))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 = 0, "", _xlfn.XLOOKUP(C485,customers!$A$1:$A$1001,customers!$C$1:$C$1001,,0))</f>
        <v/>
      </c>
      <c r="H485" s="2" t="str">
        <f>_xlfn.XLOOKUP(C485,customers!$A$1:$A$1001,customers!$G$1:$G$1001,,0)</f>
        <v>United States</v>
      </c>
      <c r="I485" t="str">
        <f>INDEX(products!$A$1:$G$49, MATCH(orders!$D485,products!$A$1:$A$49,0), MATCH(I$1,products!$A$1:$G$1,0))</f>
        <v>Lib</v>
      </c>
      <c r="J485" t="str">
        <f>INDEX(products!$A$1:$G$49, MATCH(orders!$D485,products!$A$1:$A$49,0), MATCH(J$1,products!$A$1:$G$1,0))</f>
        <v>D</v>
      </c>
      <c r="K485" s="4">
        <f>INDEX(products!$A$1:$G$49, MATCH(orders!$D485,products!$A$1:$A$49,0), MATCH(K$1,products!$A$1:$G$1,0))</f>
        <v>2.5</v>
      </c>
      <c r="L485" s="5">
        <f>INDEX(products!$A$1:$G$49, MATCH(orders!$D485,products!$A$1:$A$49,0), MATCH(L$1,products!$A$1:$G$1,0))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 = 0, "", _xlfn.XLOOKUP(C486,customers!$A$1:$A$1001,customers!$C$1:$C$1001,,0))</f>
        <v>kcakedg@huffingtonpost.com</v>
      </c>
      <c r="H486" s="2" t="str">
        <f>_xlfn.XLOOKUP(C486,customers!$A$1:$A$1001,customers!$G$1:$G$1001,,0)</f>
        <v>United States</v>
      </c>
      <c r="I486" t="str">
        <f>INDEX(products!$A$1:$G$49, MATCH(orders!$D486,products!$A$1:$A$49,0), MATCH(I$1,products!$A$1:$G$1,0))</f>
        <v>Lib</v>
      </c>
      <c r="J486" t="str">
        <f>INDEX(products!$A$1:$G$49, MATCH(orders!$D486,products!$A$1:$A$49,0), MATCH(J$1,products!$A$1:$G$1,0))</f>
        <v>L</v>
      </c>
      <c r="K486" s="4">
        <f>INDEX(products!$A$1:$G$49, MATCH(orders!$D486,products!$A$1:$A$49,0), MATCH(K$1,products!$A$1:$G$1,0))</f>
        <v>0.5</v>
      </c>
      <c r="L486" s="5">
        <f>INDEX(products!$A$1:$G$49, MATCH(orders!$D486,products!$A$1:$A$49,0), MATCH(L$1,products!$A$1:$G$1,0))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 = 0, "", _xlfn.XLOOKUP(C487,customers!$A$1:$A$1001,customers!$C$1:$C$1001,,0))</f>
        <v>mhanseddh@instagram.com</v>
      </c>
      <c r="H487" s="2" t="str">
        <f>_xlfn.XLOOKUP(C487,customers!$A$1:$A$1001,customers!$G$1:$G$1001,,0)</f>
        <v>Ireland</v>
      </c>
      <c r="I487" t="str">
        <f>INDEX(products!$A$1:$G$49, MATCH(orders!$D487,products!$A$1:$A$49,0), MATCH(I$1,products!$A$1:$G$1,0))</f>
        <v>Rob</v>
      </c>
      <c r="J487" t="str">
        <f>INDEX(products!$A$1:$G$49, MATCH(orders!$D487,products!$A$1:$A$49,0), MATCH(J$1,products!$A$1:$G$1,0))</f>
        <v>L</v>
      </c>
      <c r="K487" s="4">
        <f>INDEX(products!$A$1:$G$49, MATCH(orders!$D487,products!$A$1:$A$49,0), MATCH(K$1,products!$A$1:$G$1,0))</f>
        <v>0.2</v>
      </c>
      <c r="L487" s="5">
        <f>INDEX(products!$A$1:$G$49, MATCH(orders!$D487,products!$A$1:$A$49,0), MATCH(L$1,products!$A$1:$G$1,0))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 = 0, "", _xlfn.XLOOKUP(C488,customers!$A$1:$A$1001,customers!$C$1:$C$1001,,0))</f>
        <v>fkienleindi@trellian.com</v>
      </c>
      <c r="H488" s="2" t="str">
        <f>_xlfn.XLOOKUP(C488,customers!$A$1:$A$1001,customers!$G$1:$G$1001,,0)</f>
        <v>Ireland</v>
      </c>
      <c r="I488" t="str">
        <f>INDEX(products!$A$1:$G$49, MATCH(orders!$D488,products!$A$1:$A$49,0), MATCH(I$1,products!$A$1:$G$1,0))</f>
        <v>Lib</v>
      </c>
      <c r="J488" t="str">
        <f>INDEX(products!$A$1:$G$49, MATCH(orders!$D488,products!$A$1:$A$49,0), MATCH(J$1,products!$A$1:$G$1,0))</f>
        <v>M</v>
      </c>
      <c r="K488" s="4">
        <f>INDEX(products!$A$1:$G$49, MATCH(orders!$D488,products!$A$1:$A$49,0), MATCH(K$1,products!$A$1:$G$1,0))</f>
        <v>0.5</v>
      </c>
      <c r="L488" s="5">
        <f>INDEX(products!$A$1:$G$49, MATCH(orders!$D488,products!$A$1:$A$49,0), MATCH(L$1,products!$A$1:$G$1,0))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 = 0, "", _xlfn.XLOOKUP(C489,customers!$A$1:$A$1001,customers!$C$1:$C$1001,,0))</f>
        <v>kegglestonedj@sphinn.com</v>
      </c>
      <c r="H489" s="2" t="str">
        <f>_xlfn.XLOOKUP(C489,customers!$A$1:$A$1001,customers!$G$1:$G$1001,,0)</f>
        <v>Ireland</v>
      </c>
      <c r="I489" t="str">
        <f>INDEX(products!$A$1:$G$49, MATCH(orders!$D489,products!$A$1:$A$49,0), MATCH(I$1,products!$A$1:$G$1,0))</f>
        <v>Exc</v>
      </c>
      <c r="J489" t="str">
        <f>INDEX(products!$A$1:$G$49, MATCH(orders!$D489,products!$A$1:$A$49,0), MATCH(J$1,products!$A$1:$G$1,0))</f>
        <v>D</v>
      </c>
      <c r="K489" s="4">
        <f>INDEX(products!$A$1:$G$49, MATCH(orders!$D489,products!$A$1:$A$49,0), MATCH(K$1,products!$A$1:$G$1,0))</f>
        <v>1</v>
      </c>
      <c r="L489" s="5">
        <f>INDEX(products!$A$1:$G$49, MATCH(orders!$D489,products!$A$1:$A$49,0), MATCH(L$1,products!$A$1:$G$1,0))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 = 0, "", _xlfn.XLOOKUP(C490,customers!$A$1:$A$1001,customers!$C$1:$C$1001,,0))</f>
        <v>bsemkinsdk@unc.edu</v>
      </c>
      <c r="H490" s="2" t="str">
        <f>_xlfn.XLOOKUP(C490,customers!$A$1:$A$1001,customers!$G$1:$G$1001,,0)</f>
        <v>Ireland</v>
      </c>
      <c r="I490" t="str">
        <f>INDEX(products!$A$1:$G$49, MATCH(orders!$D490,products!$A$1:$A$49,0), MATCH(I$1,products!$A$1:$G$1,0))</f>
        <v>Rob</v>
      </c>
      <c r="J490" t="str">
        <f>INDEX(products!$A$1:$G$49, MATCH(orders!$D490,products!$A$1:$A$49,0), MATCH(J$1,products!$A$1:$G$1,0))</f>
        <v>M</v>
      </c>
      <c r="K490" s="4">
        <f>INDEX(products!$A$1:$G$49, MATCH(orders!$D490,products!$A$1:$A$49,0), MATCH(K$1,products!$A$1:$G$1,0))</f>
        <v>0.2</v>
      </c>
      <c r="L490" s="5">
        <f>INDEX(products!$A$1:$G$49, MATCH(orders!$D490,products!$A$1:$A$49,0), MATCH(L$1,products!$A$1:$G$1,0))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 = 0, "", _xlfn.XLOOKUP(C491,customers!$A$1:$A$1001,customers!$C$1:$C$1001,,0))</f>
        <v>slorenzettidl@is.gd</v>
      </c>
      <c r="H491" s="2" t="str">
        <f>_xlfn.XLOOKUP(C491,customers!$A$1:$A$1001,customers!$G$1:$G$1001,,0)</f>
        <v>United States</v>
      </c>
      <c r="I491" t="str">
        <f>INDEX(products!$A$1:$G$49, MATCH(orders!$D491,products!$A$1:$A$49,0), MATCH(I$1,products!$A$1:$G$1,0))</f>
        <v>Lib</v>
      </c>
      <c r="J491" t="str">
        <f>INDEX(products!$A$1:$G$49, MATCH(orders!$D491,products!$A$1:$A$49,0), MATCH(J$1,products!$A$1:$G$1,0))</f>
        <v>L</v>
      </c>
      <c r="K491" s="4">
        <f>INDEX(products!$A$1:$G$49, MATCH(orders!$D491,products!$A$1:$A$49,0), MATCH(K$1,products!$A$1:$G$1,0))</f>
        <v>1</v>
      </c>
      <c r="L491" s="5">
        <f>INDEX(products!$A$1:$G$49, MATCH(orders!$D491,products!$A$1:$A$49,0), MATCH(L$1,products!$A$1:$G$1,0))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 = 0, "", _xlfn.XLOOKUP(C492,customers!$A$1:$A$1001,customers!$C$1:$C$1001,,0))</f>
        <v>bgiannazzidm@apple.com</v>
      </c>
      <c r="H492" s="2" t="str">
        <f>_xlfn.XLOOKUP(C492,customers!$A$1:$A$1001,customers!$G$1:$G$1001,,0)</f>
        <v>United States</v>
      </c>
      <c r="I492" t="str">
        <f>INDEX(products!$A$1:$G$49, MATCH(orders!$D492,products!$A$1:$A$49,0), MATCH(I$1,products!$A$1:$G$1,0))</f>
        <v>Lib</v>
      </c>
      <c r="J492" t="str">
        <f>INDEX(products!$A$1:$G$49, MATCH(orders!$D492,products!$A$1:$A$49,0), MATCH(J$1,products!$A$1:$G$1,0))</f>
        <v>D</v>
      </c>
      <c r="K492" s="4">
        <f>INDEX(products!$A$1:$G$49, MATCH(orders!$D492,products!$A$1:$A$49,0), MATCH(K$1,products!$A$1:$G$1,0))</f>
        <v>0.5</v>
      </c>
      <c r="L492" s="5">
        <f>INDEX(products!$A$1:$G$49, MATCH(orders!$D492,products!$A$1:$A$49,0), MATCH(L$1,products!$A$1:$G$1,0))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 = 0, "", _xlfn.XLOOKUP(C493,customers!$A$1:$A$1001,customers!$C$1:$C$1001,,0))</f>
        <v/>
      </c>
      <c r="H493" s="2" t="str">
        <f>_xlfn.XLOOKUP(C493,customers!$A$1:$A$1001,customers!$G$1:$G$1001,,0)</f>
        <v>United States</v>
      </c>
      <c r="I493" t="str">
        <f>INDEX(products!$A$1:$G$49, MATCH(orders!$D493,products!$A$1:$A$49,0), MATCH(I$1,products!$A$1:$G$1,0))</f>
        <v>Lib</v>
      </c>
      <c r="J493" t="str">
        <f>INDEX(products!$A$1:$G$49, MATCH(orders!$D493,products!$A$1:$A$49,0), MATCH(J$1,products!$A$1:$G$1,0))</f>
        <v>D</v>
      </c>
      <c r="K493" s="4">
        <f>INDEX(products!$A$1:$G$49, MATCH(orders!$D493,products!$A$1:$A$49,0), MATCH(K$1,products!$A$1:$G$1,0))</f>
        <v>0.2</v>
      </c>
      <c r="L493" s="5">
        <f>INDEX(products!$A$1:$G$49, MATCH(orders!$D493,products!$A$1:$A$49,0), MATCH(L$1,products!$A$1:$G$1,0))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 = 0, "", _xlfn.XLOOKUP(C494,customers!$A$1:$A$1001,customers!$C$1:$C$1001,,0))</f>
        <v>ulethbrigdo@hc360.com</v>
      </c>
      <c r="H494" s="2" t="str">
        <f>_xlfn.XLOOKUP(C494,customers!$A$1:$A$1001,customers!$G$1:$G$1001,,0)</f>
        <v>United States</v>
      </c>
      <c r="I494" t="str">
        <f>INDEX(products!$A$1:$G$49, MATCH(orders!$D494,products!$A$1:$A$49,0), MATCH(I$1,products!$A$1:$G$1,0))</f>
        <v>Exc</v>
      </c>
      <c r="J494" t="str">
        <f>INDEX(products!$A$1:$G$49, MATCH(orders!$D494,products!$A$1:$A$49,0), MATCH(J$1,products!$A$1:$G$1,0))</f>
        <v>M</v>
      </c>
      <c r="K494" s="4">
        <f>INDEX(products!$A$1:$G$49, MATCH(orders!$D494,products!$A$1:$A$49,0), MATCH(K$1,products!$A$1:$G$1,0))</f>
        <v>0.2</v>
      </c>
      <c r="L494" s="5">
        <f>INDEX(products!$A$1:$G$49, MATCH(orders!$D494,products!$A$1:$A$49,0), MATCH(L$1,products!$A$1:$G$1,0))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 = 0, "", _xlfn.XLOOKUP(C495,customers!$A$1:$A$1001,customers!$C$1:$C$1001,,0))</f>
        <v>sfarnishdp@dmoz.org</v>
      </c>
      <c r="H495" s="2" t="str">
        <f>_xlfn.XLOOKUP(C495,customers!$A$1:$A$1001,customers!$G$1:$G$1001,,0)</f>
        <v>United Kingdom</v>
      </c>
      <c r="I495" t="str">
        <f>INDEX(products!$A$1:$G$49, MATCH(orders!$D495,products!$A$1:$A$49,0), MATCH(I$1,products!$A$1:$G$1,0))</f>
        <v>Rob</v>
      </c>
      <c r="J495" t="str">
        <f>INDEX(products!$A$1:$G$49, MATCH(orders!$D495,products!$A$1:$A$49,0), MATCH(J$1,products!$A$1:$G$1,0))</f>
        <v>M</v>
      </c>
      <c r="K495" s="4">
        <f>INDEX(products!$A$1:$G$49, MATCH(orders!$D495,products!$A$1:$A$49,0), MATCH(K$1,products!$A$1:$G$1,0))</f>
        <v>0.5</v>
      </c>
      <c r="L495" s="5">
        <f>INDEX(products!$A$1:$G$49, MATCH(orders!$D495,products!$A$1:$A$49,0), MATCH(L$1,products!$A$1:$G$1,0))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 = 0, "", _xlfn.XLOOKUP(C496,customers!$A$1:$A$1001,customers!$C$1:$C$1001,,0))</f>
        <v>fjecockdq@unicef.org</v>
      </c>
      <c r="H496" s="2" t="str">
        <f>_xlfn.XLOOKUP(C496,customers!$A$1:$A$1001,customers!$G$1:$G$1001,,0)</f>
        <v>United States</v>
      </c>
      <c r="I496" t="str">
        <f>INDEX(products!$A$1:$G$49, MATCH(orders!$D496,products!$A$1:$A$49,0), MATCH(I$1,products!$A$1:$G$1,0))</f>
        <v>Lib</v>
      </c>
      <c r="J496" t="str">
        <f>INDEX(products!$A$1:$G$49, MATCH(orders!$D496,products!$A$1:$A$49,0), MATCH(J$1,products!$A$1:$G$1,0))</f>
        <v>L</v>
      </c>
      <c r="K496" s="4">
        <f>INDEX(products!$A$1:$G$49, MATCH(orders!$D496,products!$A$1:$A$49,0), MATCH(K$1,products!$A$1:$G$1,0))</f>
        <v>1</v>
      </c>
      <c r="L496" s="5">
        <f>INDEX(products!$A$1:$G$49, MATCH(orders!$D496,products!$A$1:$A$49,0), MATCH(L$1,products!$A$1:$G$1,0))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 = 0, "", _xlfn.XLOOKUP(C497,customers!$A$1:$A$1001,customers!$C$1:$C$1001,,0))</f>
        <v/>
      </c>
      <c r="H497" s="2" t="str">
        <f>_xlfn.XLOOKUP(C497,customers!$A$1:$A$1001,customers!$G$1:$G$1001,,0)</f>
        <v>United States</v>
      </c>
      <c r="I497" t="str">
        <f>INDEX(products!$A$1:$G$49, MATCH(orders!$D497,products!$A$1:$A$49,0), MATCH(I$1,products!$A$1:$G$1,0))</f>
        <v>Lib</v>
      </c>
      <c r="J497" t="str">
        <f>INDEX(products!$A$1:$G$49, MATCH(orders!$D497,products!$A$1:$A$49,0), MATCH(J$1,products!$A$1:$G$1,0))</f>
        <v>L</v>
      </c>
      <c r="K497" s="4">
        <f>INDEX(products!$A$1:$G$49, MATCH(orders!$D497,products!$A$1:$A$49,0), MATCH(K$1,products!$A$1:$G$1,0))</f>
        <v>1</v>
      </c>
      <c r="L497" s="5">
        <f>INDEX(products!$A$1:$G$49, MATCH(orders!$D497,products!$A$1:$A$49,0), MATCH(L$1,products!$A$1:$G$1,0))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 = 0, "", _xlfn.XLOOKUP(C498,customers!$A$1:$A$1001,customers!$C$1:$C$1001,,0))</f>
        <v>hpallisterds@ning.com</v>
      </c>
      <c r="H498" s="2" t="str">
        <f>_xlfn.XLOOKUP(C498,customers!$A$1:$A$1001,customers!$G$1:$G$1001,,0)</f>
        <v>United States</v>
      </c>
      <c r="I498" t="str">
        <f>INDEX(products!$A$1:$G$49, MATCH(orders!$D498,products!$A$1:$A$49,0), MATCH(I$1,products!$A$1:$G$1,0))</f>
        <v>Exc</v>
      </c>
      <c r="J498" t="str">
        <f>INDEX(products!$A$1:$G$49, MATCH(orders!$D498,products!$A$1:$A$49,0), MATCH(J$1,products!$A$1:$G$1,0))</f>
        <v>D</v>
      </c>
      <c r="K498" s="4">
        <f>INDEX(products!$A$1:$G$49, MATCH(orders!$D498,products!$A$1:$A$49,0), MATCH(K$1,products!$A$1:$G$1,0))</f>
        <v>0.2</v>
      </c>
      <c r="L498" s="5">
        <f>INDEX(products!$A$1:$G$49, MATCH(orders!$D498,products!$A$1:$A$49,0), MATCH(L$1,products!$A$1:$G$1,0))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 = 0, "", _xlfn.XLOOKUP(C499,customers!$A$1:$A$1001,customers!$C$1:$C$1001,,0))</f>
        <v>cmershdt@drupal.org</v>
      </c>
      <c r="H499" s="2" t="str">
        <f>_xlfn.XLOOKUP(C499,customers!$A$1:$A$1001,customers!$G$1:$G$1001,,0)</f>
        <v>Ireland</v>
      </c>
      <c r="I499" t="str">
        <f>INDEX(products!$A$1:$G$49, MATCH(orders!$D499,products!$A$1:$A$49,0), MATCH(I$1,products!$A$1:$G$1,0))</f>
        <v>Ara</v>
      </c>
      <c r="J499" t="str">
        <f>INDEX(products!$A$1:$G$49, MATCH(orders!$D499,products!$A$1:$A$49,0), MATCH(J$1,products!$A$1:$G$1,0))</f>
        <v>D</v>
      </c>
      <c r="K499" s="4">
        <f>INDEX(products!$A$1:$G$49, MATCH(orders!$D499,products!$A$1:$A$49,0), MATCH(K$1,products!$A$1:$G$1,0))</f>
        <v>1</v>
      </c>
      <c r="L499" s="5">
        <f>INDEX(products!$A$1:$G$49, MATCH(orders!$D499,products!$A$1:$A$49,0), MATCH(L$1,products!$A$1:$G$1,0))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 = 0, "", _xlfn.XLOOKUP(C500,customers!$A$1:$A$1001,customers!$C$1:$C$1001,,0))</f>
        <v>murione5@alexa.com</v>
      </c>
      <c r="H500" s="2" t="str">
        <f>_xlfn.XLOOKUP(C500,customers!$A$1:$A$1001,customers!$G$1:$G$1001,,0)</f>
        <v>Ireland</v>
      </c>
      <c r="I500" t="str">
        <f>INDEX(products!$A$1:$G$49, MATCH(orders!$D500,products!$A$1:$A$49,0), MATCH(I$1,products!$A$1:$G$1,0))</f>
        <v>Rob</v>
      </c>
      <c r="J500" t="str">
        <f>INDEX(products!$A$1:$G$49, MATCH(orders!$D500,products!$A$1:$A$49,0), MATCH(J$1,products!$A$1:$G$1,0))</f>
        <v>M</v>
      </c>
      <c r="K500" s="4">
        <f>INDEX(products!$A$1:$G$49, MATCH(orders!$D500,products!$A$1:$A$49,0), MATCH(K$1,products!$A$1:$G$1,0))</f>
        <v>1</v>
      </c>
      <c r="L500" s="5">
        <f>INDEX(products!$A$1:$G$49, MATCH(orders!$D500,products!$A$1:$A$49,0), MATCH(L$1,products!$A$1:$G$1,0))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 = 0, "", _xlfn.XLOOKUP(C501,customers!$A$1:$A$1001,customers!$C$1:$C$1001,,0))</f>
        <v/>
      </c>
      <c r="H501" s="2" t="str">
        <f>_xlfn.XLOOKUP(C501,customers!$A$1:$A$1001,customers!$G$1:$G$1001,,0)</f>
        <v>Ireland</v>
      </c>
      <c r="I501" t="str">
        <f>INDEX(products!$A$1:$G$49, MATCH(orders!$D501,products!$A$1:$A$49,0), MATCH(I$1,products!$A$1:$G$1,0))</f>
        <v>Rob</v>
      </c>
      <c r="J501" t="str">
        <f>INDEX(products!$A$1:$G$49, MATCH(orders!$D501,products!$A$1:$A$49,0), MATCH(J$1,products!$A$1:$G$1,0))</f>
        <v>D</v>
      </c>
      <c r="K501" s="4">
        <f>INDEX(products!$A$1:$G$49, MATCH(orders!$D501,products!$A$1:$A$49,0), MATCH(K$1,products!$A$1:$G$1,0))</f>
        <v>0.2</v>
      </c>
      <c r="L501" s="5">
        <f>INDEX(products!$A$1:$G$49, MATCH(orders!$D501,products!$A$1:$A$49,0), MATCH(L$1,products!$A$1:$G$1,0))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 = 0, "", _xlfn.XLOOKUP(C502,customers!$A$1:$A$1001,customers!$C$1:$C$1001,,0))</f>
        <v/>
      </c>
      <c r="H502" s="2" t="str">
        <f>_xlfn.XLOOKUP(C502,customers!$A$1:$A$1001,customers!$G$1:$G$1001,,0)</f>
        <v>United States</v>
      </c>
      <c r="I502" t="str">
        <f>INDEX(products!$A$1:$G$49, MATCH(orders!$D502,products!$A$1:$A$49,0), MATCH(I$1,products!$A$1:$G$1,0))</f>
        <v>Rob</v>
      </c>
      <c r="J502" t="str">
        <f>INDEX(products!$A$1:$G$49, MATCH(orders!$D502,products!$A$1:$A$49,0), MATCH(J$1,products!$A$1:$G$1,0))</f>
        <v>L</v>
      </c>
      <c r="K502" s="4">
        <f>INDEX(products!$A$1:$G$49, MATCH(orders!$D502,products!$A$1:$A$49,0), MATCH(K$1,products!$A$1:$G$1,0))</f>
        <v>1</v>
      </c>
      <c r="L502" s="5">
        <f>INDEX(products!$A$1:$G$49, MATCH(orders!$D502,products!$A$1:$A$49,0), MATCH(L$1,products!$A$1:$G$1,0))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 = 0, "", _xlfn.XLOOKUP(C503,customers!$A$1:$A$1001,customers!$C$1:$C$1001,,0))</f>
        <v>gduckerdx@patch.com</v>
      </c>
      <c r="H503" s="2" t="str">
        <f>_xlfn.XLOOKUP(C503,customers!$A$1:$A$1001,customers!$G$1:$G$1001,,0)</f>
        <v>United Kingdom</v>
      </c>
      <c r="I503" t="str">
        <f>INDEX(products!$A$1:$G$49, MATCH(orders!$D503,products!$A$1:$A$49,0), MATCH(I$1,products!$A$1:$G$1,0))</f>
        <v>Rob</v>
      </c>
      <c r="J503" t="str">
        <f>INDEX(products!$A$1:$G$49, MATCH(orders!$D503,products!$A$1:$A$49,0), MATCH(J$1,products!$A$1:$G$1,0))</f>
        <v>M</v>
      </c>
      <c r="K503" s="4">
        <f>INDEX(products!$A$1:$G$49, MATCH(orders!$D503,products!$A$1:$A$49,0), MATCH(K$1,products!$A$1:$G$1,0))</f>
        <v>0.2</v>
      </c>
      <c r="L503" s="5">
        <f>INDEX(products!$A$1:$G$49, MATCH(orders!$D503,products!$A$1:$A$49,0), MATCH(L$1,products!$A$1:$G$1,0))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 = 0, "", _xlfn.XLOOKUP(C504,customers!$A$1:$A$1001,customers!$C$1:$C$1001,,0))</f>
        <v>gduckerdx@patch.com</v>
      </c>
      <c r="H504" s="2" t="str">
        <f>_xlfn.XLOOKUP(C504,customers!$A$1:$A$1001,customers!$G$1:$G$1001,,0)</f>
        <v>United Kingdom</v>
      </c>
      <c r="I504" t="str">
        <f>INDEX(products!$A$1:$G$49, MATCH(orders!$D504,products!$A$1:$A$49,0), MATCH(I$1,products!$A$1:$G$1,0))</f>
        <v>Exc</v>
      </c>
      <c r="J504" t="str">
        <f>INDEX(products!$A$1:$G$49, MATCH(orders!$D504,products!$A$1:$A$49,0), MATCH(J$1,products!$A$1:$G$1,0))</f>
        <v>M</v>
      </c>
      <c r="K504" s="4">
        <f>INDEX(products!$A$1:$G$49, MATCH(orders!$D504,products!$A$1:$A$49,0), MATCH(K$1,products!$A$1:$G$1,0))</f>
        <v>0.2</v>
      </c>
      <c r="L504" s="5">
        <f>INDEX(products!$A$1:$G$49, MATCH(orders!$D504,products!$A$1:$A$49,0), MATCH(L$1,products!$A$1:$G$1,0))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 = 0, "", _xlfn.XLOOKUP(C505,customers!$A$1:$A$1001,customers!$C$1:$C$1001,,0))</f>
        <v>gduckerdx@patch.com</v>
      </c>
      <c r="H505" s="2" t="str">
        <f>_xlfn.XLOOKUP(C505,customers!$A$1:$A$1001,customers!$G$1:$G$1001,,0)</f>
        <v>United Kingdom</v>
      </c>
      <c r="I505" t="str">
        <f>INDEX(products!$A$1:$G$49, MATCH(orders!$D505,products!$A$1:$A$49,0), MATCH(I$1,products!$A$1:$G$1,0))</f>
        <v>Lib</v>
      </c>
      <c r="J505" t="str">
        <f>INDEX(products!$A$1:$G$49, MATCH(orders!$D505,products!$A$1:$A$49,0), MATCH(J$1,products!$A$1:$G$1,0))</f>
        <v>D</v>
      </c>
      <c r="K505" s="4">
        <f>INDEX(products!$A$1:$G$49, MATCH(orders!$D505,products!$A$1:$A$49,0), MATCH(K$1,products!$A$1:$G$1,0))</f>
        <v>1</v>
      </c>
      <c r="L505" s="5">
        <f>INDEX(products!$A$1:$G$49, MATCH(orders!$D505,products!$A$1:$A$49,0), MATCH(L$1,products!$A$1:$G$1,0))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 = 0, "", _xlfn.XLOOKUP(C506,customers!$A$1:$A$1001,customers!$C$1:$C$1001,,0))</f>
        <v>gduckerdx@patch.com</v>
      </c>
      <c r="H506" s="2" t="str">
        <f>_xlfn.XLOOKUP(C506,customers!$A$1:$A$1001,customers!$G$1:$G$1001,,0)</f>
        <v>United Kingdom</v>
      </c>
      <c r="I506" t="str">
        <f>INDEX(products!$A$1:$G$49, MATCH(orders!$D506,products!$A$1:$A$49,0), MATCH(I$1,products!$A$1:$G$1,0))</f>
        <v>Lib</v>
      </c>
      <c r="J506" t="str">
        <f>INDEX(products!$A$1:$G$49, MATCH(orders!$D506,products!$A$1:$A$49,0), MATCH(J$1,products!$A$1:$G$1,0))</f>
        <v>L</v>
      </c>
      <c r="K506" s="4">
        <f>INDEX(products!$A$1:$G$49, MATCH(orders!$D506,products!$A$1:$A$49,0), MATCH(K$1,products!$A$1:$G$1,0))</f>
        <v>0.2</v>
      </c>
      <c r="L506" s="5">
        <f>INDEX(products!$A$1:$G$49, MATCH(orders!$D506,products!$A$1:$A$49,0), MATCH(L$1,products!$A$1:$G$1,0))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 = 0, "", _xlfn.XLOOKUP(C507,customers!$A$1:$A$1001,customers!$C$1:$C$1001,,0))</f>
        <v>wstearleye1@census.gov</v>
      </c>
      <c r="H507" s="2" t="str">
        <f>_xlfn.XLOOKUP(C507,customers!$A$1:$A$1001,customers!$G$1:$G$1001,,0)</f>
        <v>United States</v>
      </c>
      <c r="I507" t="str">
        <f>INDEX(products!$A$1:$G$49, MATCH(orders!$D507,products!$A$1:$A$49,0), MATCH(I$1,products!$A$1:$G$1,0))</f>
        <v>Lib</v>
      </c>
      <c r="J507" t="str">
        <f>INDEX(products!$A$1:$G$49, MATCH(orders!$D507,products!$A$1:$A$49,0), MATCH(J$1,products!$A$1:$G$1,0))</f>
        <v>M</v>
      </c>
      <c r="K507" s="4">
        <f>INDEX(products!$A$1:$G$49, MATCH(orders!$D507,products!$A$1:$A$49,0), MATCH(K$1,products!$A$1:$G$1,0))</f>
        <v>0.2</v>
      </c>
      <c r="L507" s="5">
        <f>INDEX(products!$A$1:$G$49, MATCH(orders!$D507,products!$A$1:$A$49,0), MATCH(L$1,products!$A$1:$G$1,0))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 = 0, "", _xlfn.XLOOKUP(C508,customers!$A$1:$A$1001,customers!$C$1:$C$1001,,0))</f>
        <v>dwincere2@marriott.com</v>
      </c>
      <c r="H508" s="2" t="str">
        <f>_xlfn.XLOOKUP(C508,customers!$A$1:$A$1001,customers!$G$1:$G$1001,,0)</f>
        <v>United States</v>
      </c>
      <c r="I508" t="str">
        <f>INDEX(products!$A$1:$G$49, MATCH(orders!$D508,products!$A$1:$A$49,0), MATCH(I$1,products!$A$1:$G$1,0))</f>
        <v>Ara</v>
      </c>
      <c r="J508" t="str">
        <f>INDEX(products!$A$1:$G$49, MATCH(orders!$D508,products!$A$1:$A$49,0), MATCH(J$1,products!$A$1:$G$1,0))</f>
        <v>L</v>
      </c>
      <c r="K508" s="4">
        <f>INDEX(products!$A$1:$G$49, MATCH(orders!$D508,products!$A$1:$A$49,0), MATCH(K$1,products!$A$1:$G$1,0))</f>
        <v>1</v>
      </c>
      <c r="L508" s="5">
        <f>INDEX(products!$A$1:$G$49, MATCH(orders!$D508,products!$A$1:$A$49,0), MATCH(L$1,products!$A$1:$G$1,0))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 = 0, "", _xlfn.XLOOKUP(C509,customers!$A$1:$A$1001,customers!$C$1:$C$1001,,0))</f>
        <v>plyfielde3@baidu.com</v>
      </c>
      <c r="H509" s="2" t="str">
        <f>_xlfn.XLOOKUP(C509,customers!$A$1:$A$1001,customers!$G$1:$G$1001,,0)</f>
        <v>United States</v>
      </c>
      <c r="I509" t="str">
        <f>INDEX(products!$A$1:$G$49, MATCH(orders!$D509,products!$A$1:$A$49,0), MATCH(I$1,products!$A$1:$G$1,0))</f>
        <v>Ara</v>
      </c>
      <c r="J509" t="str">
        <f>INDEX(products!$A$1:$G$49, MATCH(orders!$D509,products!$A$1:$A$49,0), MATCH(J$1,products!$A$1:$G$1,0))</f>
        <v>L</v>
      </c>
      <c r="K509" s="4">
        <f>INDEX(products!$A$1:$G$49, MATCH(orders!$D509,products!$A$1:$A$49,0), MATCH(K$1,products!$A$1:$G$1,0))</f>
        <v>2.5</v>
      </c>
      <c r="L509" s="5">
        <f>INDEX(products!$A$1:$G$49, MATCH(orders!$D509,products!$A$1:$A$49,0), MATCH(L$1,products!$A$1:$G$1,0))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 = 0, "", _xlfn.XLOOKUP(C510,customers!$A$1:$A$1001,customers!$C$1:$C$1001,,0))</f>
        <v>hperrise4@studiopress.com</v>
      </c>
      <c r="H510" s="2" t="str">
        <f>_xlfn.XLOOKUP(C510,customers!$A$1:$A$1001,customers!$G$1:$G$1001,,0)</f>
        <v>Ireland</v>
      </c>
      <c r="I510" t="str">
        <f>INDEX(products!$A$1:$G$49, MATCH(orders!$D510,products!$A$1:$A$49,0), MATCH(I$1,products!$A$1:$G$1,0))</f>
        <v>Lib</v>
      </c>
      <c r="J510" t="str">
        <f>INDEX(products!$A$1:$G$49, MATCH(orders!$D510,products!$A$1:$A$49,0), MATCH(J$1,products!$A$1:$G$1,0))</f>
        <v>D</v>
      </c>
      <c r="K510" s="4">
        <f>INDEX(products!$A$1:$G$49, MATCH(orders!$D510,products!$A$1:$A$49,0), MATCH(K$1,products!$A$1:$G$1,0))</f>
        <v>0.5</v>
      </c>
      <c r="L510" s="5">
        <f>INDEX(products!$A$1:$G$49, MATCH(orders!$D510,products!$A$1:$A$49,0), MATCH(L$1,products!$A$1:$G$1,0))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 = 0, "", _xlfn.XLOOKUP(C511,customers!$A$1:$A$1001,customers!$C$1:$C$1001,,0))</f>
        <v>murione5@alexa.com</v>
      </c>
      <c r="H511" s="2" t="str">
        <f>_xlfn.XLOOKUP(C511,customers!$A$1:$A$1001,customers!$G$1:$G$1001,,0)</f>
        <v>Ireland</v>
      </c>
      <c r="I511" t="str">
        <f>INDEX(products!$A$1:$G$49, MATCH(orders!$D511,products!$A$1:$A$49,0), MATCH(I$1,products!$A$1:$G$1,0))</f>
        <v>Ara</v>
      </c>
      <c r="J511" t="str">
        <f>INDEX(products!$A$1:$G$49, MATCH(orders!$D511,products!$A$1:$A$49,0), MATCH(J$1,products!$A$1:$G$1,0))</f>
        <v>D</v>
      </c>
      <c r="K511" s="4">
        <f>INDEX(products!$A$1:$G$49, MATCH(orders!$D511,products!$A$1:$A$49,0), MATCH(K$1,products!$A$1:$G$1,0))</f>
        <v>1</v>
      </c>
      <c r="L511" s="5">
        <f>INDEX(products!$A$1:$G$49, MATCH(orders!$D511,products!$A$1:$A$49,0), MATCH(L$1,products!$A$1:$G$1,0))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 = 0, "", _xlfn.XLOOKUP(C512,customers!$A$1:$A$1001,customers!$C$1:$C$1001,,0))</f>
        <v>ckide6@narod.ru</v>
      </c>
      <c r="H512" s="2" t="str">
        <f>_xlfn.XLOOKUP(C512,customers!$A$1:$A$1001,customers!$G$1:$G$1001,,0)</f>
        <v>Ireland</v>
      </c>
      <c r="I512" t="str">
        <f>INDEX(products!$A$1:$G$49, MATCH(orders!$D512,products!$A$1:$A$49,0), MATCH(I$1,products!$A$1:$G$1,0))</f>
        <v>Rob</v>
      </c>
      <c r="J512" t="str">
        <f>INDEX(products!$A$1:$G$49, MATCH(orders!$D512,products!$A$1:$A$49,0), MATCH(J$1,products!$A$1:$G$1,0))</f>
        <v>L</v>
      </c>
      <c r="K512" s="4">
        <f>INDEX(products!$A$1:$G$49, MATCH(orders!$D512,products!$A$1:$A$49,0), MATCH(K$1,products!$A$1:$G$1,0))</f>
        <v>0.2</v>
      </c>
      <c r="L512" s="5">
        <f>INDEX(products!$A$1:$G$49, MATCH(orders!$D512,products!$A$1:$A$49,0), MATCH(L$1,products!$A$1:$G$1,0))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 = 0, "", _xlfn.XLOOKUP(C513,customers!$A$1:$A$1001,customers!$C$1:$C$1001,,0))</f>
        <v>cbeinee7@xinhuanet.com</v>
      </c>
      <c r="H513" s="2" t="str">
        <f>_xlfn.XLOOKUP(C513,customers!$A$1:$A$1001,customers!$G$1:$G$1001,,0)</f>
        <v>United States</v>
      </c>
      <c r="I513" t="str">
        <f>INDEX(products!$A$1:$G$49, MATCH(orders!$D513,products!$A$1:$A$49,0), MATCH(I$1,products!$A$1:$G$1,0))</f>
        <v>Ara</v>
      </c>
      <c r="J513" t="str">
        <f>INDEX(products!$A$1:$G$49, MATCH(orders!$D513,products!$A$1:$A$49,0), MATCH(J$1,products!$A$1:$G$1,0))</f>
        <v>M</v>
      </c>
      <c r="K513" s="4">
        <f>INDEX(products!$A$1:$G$49, MATCH(orders!$D513,products!$A$1:$A$49,0), MATCH(K$1,products!$A$1:$G$1,0))</f>
        <v>0.2</v>
      </c>
      <c r="L513" s="5">
        <f>INDEX(products!$A$1:$G$49, MATCH(orders!$D513,products!$A$1:$A$49,0), MATCH(L$1,products!$A$1:$G$1,0))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 = 0, "", _xlfn.XLOOKUP(C514,customers!$A$1:$A$1001,customers!$C$1:$C$1001,,0))</f>
        <v>cbakeupe8@globo.com</v>
      </c>
      <c r="H514" s="2" t="str">
        <f>_xlfn.XLOOKUP(C514,customers!$A$1:$A$1001,customers!$G$1:$G$1001,,0)</f>
        <v>United States</v>
      </c>
      <c r="I514" t="str">
        <f>INDEX(products!$A$1:$G$49, MATCH(orders!$D514,products!$A$1:$A$49,0), MATCH(I$1,products!$A$1:$G$1,0))</f>
        <v>Lib</v>
      </c>
      <c r="J514" t="str">
        <f>INDEX(products!$A$1:$G$49, MATCH(orders!$D514,products!$A$1:$A$49,0), MATCH(J$1,products!$A$1:$G$1,0))</f>
        <v>L</v>
      </c>
      <c r="K514" s="4">
        <f>INDEX(products!$A$1:$G$49, MATCH(orders!$D514,products!$A$1:$A$49,0), MATCH(K$1,products!$A$1:$G$1,0))</f>
        <v>1</v>
      </c>
      <c r="L514" s="5">
        <f>INDEX(products!$A$1:$G$49, MATCH(orders!$D514,products!$A$1:$A$49,0), MATCH(L$1,products!$A$1:$G$1,0))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 = 0, "", _xlfn.XLOOKUP(C515,customers!$A$1:$A$1001,customers!$C$1:$C$1001,,0))</f>
        <v>nhelkine9@example.com</v>
      </c>
      <c r="H515" s="2" t="str">
        <f>_xlfn.XLOOKUP(C515,customers!$A$1:$A$1001,customers!$G$1:$G$1001,,0)</f>
        <v>United States</v>
      </c>
      <c r="I515" t="str">
        <f>INDEX(products!$A$1:$G$49, MATCH(orders!$D515,products!$A$1:$A$49,0), MATCH(I$1,products!$A$1:$G$1,0))</f>
        <v>Lib</v>
      </c>
      <c r="J515" t="str">
        <f>INDEX(products!$A$1:$G$49, MATCH(orders!$D515,products!$A$1:$A$49,0), MATCH(J$1,products!$A$1:$G$1,0))</f>
        <v>L</v>
      </c>
      <c r="K515" s="4">
        <f>INDEX(products!$A$1:$G$49, MATCH(orders!$D515,products!$A$1:$A$49,0), MATCH(K$1,products!$A$1:$G$1,0))</f>
        <v>1</v>
      </c>
      <c r="L515" s="5">
        <f>INDEX(products!$A$1:$G$49, MATCH(orders!$D515,products!$A$1:$A$49,0), MATCH(L$1,products!$A$1:$G$1,0))</f>
        <v>15.85</v>
      </c>
      <c r="M515" s="5">
        <f t="shared" ref="M515:M578" si="24">L515*E515</f>
        <v>79.25</v>
      </c>
      <c r="N515" t="str">
        <f t="shared" ref="N515:N578" si="25">IF(I515="Rob", "Robusta", IF(I515 = "Exc", "Excelsa", IF(I515 = "Ara", "Arabica", IF(I515 = "Lib", "Liberica", ""))))</f>
        <v>Liberica</v>
      </c>
      <c r="O515" t="str">
        <f t="shared" ref="O515:O578" si="26">IF(J515 = "M", "Medium", IF(J515 = "L", "Light", IF( J515 = "D", "Dark", "")))</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 = 0, "", _xlfn.XLOOKUP(C516,customers!$A$1:$A$1001,customers!$C$1:$C$1001,,0))</f>
        <v>pwitheringtonea@networkadvertising.org</v>
      </c>
      <c r="H516" s="2" t="str">
        <f>_xlfn.XLOOKUP(C516,customers!$A$1:$A$1001,customers!$G$1:$G$1001,,0)</f>
        <v>United States</v>
      </c>
      <c r="I516" t="str">
        <f>INDEX(products!$A$1:$G$49, MATCH(orders!$D516,products!$A$1:$A$49,0), MATCH(I$1,products!$A$1:$G$1,0))</f>
        <v>Lib</v>
      </c>
      <c r="J516" t="str">
        <f>INDEX(products!$A$1:$G$49, MATCH(orders!$D516,products!$A$1:$A$49,0), MATCH(J$1,products!$A$1:$G$1,0))</f>
        <v>M</v>
      </c>
      <c r="K516" s="4">
        <f>INDEX(products!$A$1:$G$49, MATCH(orders!$D516,products!$A$1:$A$49,0), MATCH(K$1,products!$A$1:$G$1,0))</f>
        <v>0.2</v>
      </c>
      <c r="L516" s="5">
        <f>INDEX(products!$A$1:$G$49, MATCH(orders!$D516,products!$A$1:$A$49,0), MATCH(L$1,products!$A$1:$G$1,0))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 = 0, "", _xlfn.XLOOKUP(C517,customers!$A$1:$A$1001,customers!$C$1:$C$1001,,0))</f>
        <v>ttilzeyeb@hostgator.com</v>
      </c>
      <c r="H517" s="2" t="str">
        <f>_xlfn.XLOOKUP(C517,customers!$A$1:$A$1001,customers!$G$1:$G$1001,,0)</f>
        <v>United States</v>
      </c>
      <c r="I517" t="str">
        <f>INDEX(products!$A$1:$G$49, MATCH(orders!$D517,products!$A$1:$A$49,0), MATCH(I$1,products!$A$1:$G$1,0))</f>
        <v>Rob</v>
      </c>
      <c r="J517" t="str">
        <f>INDEX(products!$A$1:$G$49, MATCH(orders!$D517,products!$A$1:$A$49,0), MATCH(J$1,products!$A$1:$G$1,0))</f>
        <v>L</v>
      </c>
      <c r="K517" s="4">
        <f>INDEX(products!$A$1:$G$49, MATCH(orders!$D517,products!$A$1:$A$49,0), MATCH(K$1,products!$A$1:$G$1,0))</f>
        <v>0.5</v>
      </c>
      <c r="L517" s="5">
        <f>INDEX(products!$A$1:$G$49, MATCH(orders!$D517,products!$A$1:$A$49,0), MATCH(L$1,products!$A$1:$G$1,0))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 = 0, "", _xlfn.XLOOKUP(C518,customers!$A$1:$A$1001,customers!$C$1:$C$1001,,0))</f>
        <v/>
      </c>
      <c r="H518" s="2" t="str">
        <f>_xlfn.XLOOKUP(C518,customers!$A$1:$A$1001,customers!$G$1:$G$1001,,0)</f>
        <v>United States</v>
      </c>
      <c r="I518" t="str">
        <f>INDEX(products!$A$1:$G$49, MATCH(orders!$D518,products!$A$1:$A$49,0), MATCH(I$1,products!$A$1:$G$1,0))</f>
        <v>Rob</v>
      </c>
      <c r="J518" t="str">
        <f>INDEX(products!$A$1:$G$49, MATCH(orders!$D518,products!$A$1:$A$49,0), MATCH(J$1,products!$A$1:$G$1,0))</f>
        <v>D</v>
      </c>
      <c r="K518" s="4">
        <f>INDEX(products!$A$1:$G$49, MATCH(orders!$D518,products!$A$1:$A$49,0), MATCH(K$1,products!$A$1:$G$1,0))</f>
        <v>2.5</v>
      </c>
      <c r="L518" s="5">
        <f>INDEX(products!$A$1:$G$49, MATCH(orders!$D518,products!$A$1:$A$49,0), MATCH(L$1,products!$A$1:$G$1,0))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 = 0, "", _xlfn.XLOOKUP(C519,customers!$A$1:$A$1001,customers!$C$1:$C$1001,,0))</f>
        <v/>
      </c>
      <c r="H519" s="2" t="str">
        <f>_xlfn.XLOOKUP(C519,customers!$A$1:$A$1001,customers!$G$1:$G$1001,,0)</f>
        <v>United States</v>
      </c>
      <c r="I519" t="str">
        <f>INDEX(products!$A$1:$G$49, MATCH(orders!$D519,products!$A$1:$A$49,0), MATCH(I$1,products!$A$1:$G$1,0))</f>
        <v>Lib</v>
      </c>
      <c r="J519" t="str">
        <f>INDEX(products!$A$1:$G$49, MATCH(orders!$D519,products!$A$1:$A$49,0), MATCH(J$1,products!$A$1:$G$1,0))</f>
        <v>D</v>
      </c>
      <c r="K519" s="4">
        <f>INDEX(products!$A$1:$G$49, MATCH(orders!$D519,products!$A$1:$A$49,0), MATCH(K$1,products!$A$1:$G$1,0))</f>
        <v>0.2</v>
      </c>
      <c r="L519" s="5">
        <f>INDEX(products!$A$1:$G$49, MATCH(orders!$D519,products!$A$1:$A$49,0), MATCH(L$1,products!$A$1:$G$1,0))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 = 0, "", _xlfn.XLOOKUP(C520,customers!$A$1:$A$1001,customers!$C$1:$C$1001,,0))</f>
        <v>kimortsee@alexa.com</v>
      </c>
      <c r="H520" s="2" t="str">
        <f>_xlfn.XLOOKUP(C520,customers!$A$1:$A$1001,customers!$G$1:$G$1001,,0)</f>
        <v>United States</v>
      </c>
      <c r="I520" t="str">
        <f>INDEX(products!$A$1:$G$49, MATCH(orders!$D520,products!$A$1:$A$49,0), MATCH(I$1,products!$A$1:$G$1,0))</f>
        <v>Exc</v>
      </c>
      <c r="J520" t="str">
        <f>INDEX(products!$A$1:$G$49, MATCH(orders!$D520,products!$A$1:$A$49,0), MATCH(J$1,products!$A$1:$G$1,0))</f>
        <v>D</v>
      </c>
      <c r="K520" s="4">
        <f>INDEX(products!$A$1:$G$49, MATCH(orders!$D520,products!$A$1:$A$49,0), MATCH(K$1,products!$A$1:$G$1,0))</f>
        <v>2.5</v>
      </c>
      <c r="L520" s="5">
        <f>INDEX(products!$A$1:$G$49, MATCH(orders!$D520,products!$A$1:$A$49,0), MATCH(L$1,products!$A$1:$G$1,0))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 = 0, "", _xlfn.XLOOKUP(C521,customers!$A$1:$A$1001,customers!$C$1:$C$1001,,0))</f>
        <v>murione5@alexa.com</v>
      </c>
      <c r="H521" s="2" t="str">
        <f>_xlfn.XLOOKUP(C521,customers!$A$1:$A$1001,customers!$G$1:$G$1001,,0)</f>
        <v>Ireland</v>
      </c>
      <c r="I521" t="str">
        <f>INDEX(products!$A$1:$G$49, MATCH(orders!$D521,products!$A$1:$A$49,0), MATCH(I$1,products!$A$1:$G$1,0))</f>
        <v>Ara</v>
      </c>
      <c r="J521" t="str">
        <f>INDEX(products!$A$1:$G$49, MATCH(orders!$D521,products!$A$1:$A$49,0), MATCH(J$1,products!$A$1:$G$1,0))</f>
        <v>D</v>
      </c>
      <c r="K521" s="4">
        <f>INDEX(products!$A$1:$G$49, MATCH(orders!$D521,products!$A$1:$A$49,0), MATCH(K$1,products!$A$1:$G$1,0))</f>
        <v>0.5</v>
      </c>
      <c r="L521" s="5">
        <f>INDEX(products!$A$1:$G$49, MATCH(orders!$D521,products!$A$1:$A$49,0), MATCH(L$1,products!$A$1:$G$1,0))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 = 0, "", _xlfn.XLOOKUP(C522,customers!$A$1:$A$1001,customers!$C$1:$C$1001,,0))</f>
        <v>marmisteadeg@blogtalkradio.com</v>
      </c>
      <c r="H522" s="2" t="str">
        <f>_xlfn.XLOOKUP(C522,customers!$A$1:$A$1001,customers!$G$1:$G$1001,,0)</f>
        <v>United States</v>
      </c>
      <c r="I522" t="str">
        <f>INDEX(products!$A$1:$G$49, MATCH(orders!$D522,products!$A$1:$A$49,0), MATCH(I$1,products!$A$1:$G$1,0))</f>
        <v>Lib</v>
      </c>
      <c r="J522" t="str">
        <f>INDEX(products!$A$1:$G$49, MATCH(orders!$D522,products!$A$1:$A$49,0), MATCH(J$1,products!$A$1:$G$1,0))</f>
        <v>D</v>
      </c>
      <c r="K522" s="4">
        <f>INDEX(products!$A$1:$G$49, MATCH(orders!$D522,products!$A$1:$A$49,0), MATCH(K$1,products!$A$1:$G$1,0))</f>
        <v>0.2</v>
      </c>
      <c r="L522" s="5">
        <f>INDEX(products!$A$1:$G$49, MATCH(orders!$D522,products!$A$1:$A$49,0), MATCH(L$1,products!$A$1:$G$1,0))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 = 0, "", _xlfn.XLOOKUP(C523,customers!$A$1:$A$1001,customers!$C$1:$C$1001,,0))</f>
        <v>marmisteadeg@blogtalkradio.com</v>
      </c>
      <c r="H523" s="2" t="str">
        <f>_xlfn.XLOOKUP(C523,customers!$A$1:$A$1001,customers!$G$1:$G$1001,,0)</f>
        <v>United States</v>
      </c>
      <c r="I523" t="str">
        <f>INDEX(products!$A$1:$G$49, MATCH(orders!$D523,products!$A$1:$A$49,0), MATCH(I$1,products!$A$1:$G$1,0))</f>
        <v>Rob</v>
      </c>
      <c r="J523" t="str">
        <f>INDEX(products!$A$1:$G$49, MATCH(orders!$D523,products!$A$1:$A$49,0), MATCH(J$1,products!$A$1:$G$1,0))</f>
        <v>M</v>
      </c>
      <c r="K523" s="4">
        <f>INDEX(products!$A$1:$G$49, MATCH(orders!$D523,products!$A$1:$A$49,0), MATCH(K$1,products!$A$1:$G$1,0))</f>
        <v>1</v>
      </c>
      <c r="L523" s="5">
        <f>INDEX(products!$A$1:$G$49, MATCH(orders!$D523,products!$A$1:$A$49,0), MATCH(L$1,products!$A$1:$G$1,0))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 = 0, "", _xlfn.XLOOKUP(C524,customers!$A$1:$A$1001,customers!$C$1:$C$1001,,0))</f>
        <v>vupstoneei@google.pl</v>
      </c>
      <c r="H524" s="2" t="str">
        <f>_xlfn.XLOOKUP(C524,customers!$A$1:$A$1001,customers!$G$1:$G$1001,,0)</f>
        <v>United States</v>
      </c>
      <c r="I524" t="str">
        <f>INDEX(products!$A$1:$G$49, MATCH(orders!$D524,products!$A$1:$A$49,0), MATCH(I$1,products!$A$1:$G$1,0))</f>
        <v>Rob</v>
      </c>
      <c r="J524" t="str">
        <f>INDEX(products!$A$1:$G$49, MATCH(orders!$D524,products!$A$1:$A$49,0), MATCH(J$1,products!$A$1:$G$1,0))</f>
        <v>M</v>
      </c>
      <c r="K524" s="4">
        <f>INDEX(products!$A$1:$G$49, MATCH(orders!$D524,products!$A$1:$A$49,0), MATCH(K$1,products!$A$1:$G$1,0))</f>
        <v>0.5</v>
      </c>
      <c r="L524" s="5">
        <f>INDEX(products!$A$1:$G$49, MATCH(orders!$D524,products!$A$1:$A$49,0), MATCH(L$1,products!$A$1:$G$1,0))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 = 0, "", _xlfn.XLOOKUP(C525,customers!$A$1:$A$1001,customers!$C$1:$C$1001,,0))</f>
        <v>bbeelbyej@rediff.com</v>
      </c>
      <c r="H525" s="2" t="str">
        <f>_xlfn.XLOOKUP(C525,customers!$A$1:$A$1001,customers!$G$1:$G$1001,,0)</f>
        <v>Ireland</v>
      </c>
      <c r="I525" t="str">
        <f>INDEX(products!$A$1:$G$49, MATCH(orders!$D525,products!$A$1:$A$49,0), MATCH(I$1,products!$A$1:$G$1,0))</f>
        <v>Lib</v>
      </c>
      <c r="J525" t="str">
        <f>INDEX(products!$A$1:$G$49, MATCH(orders!$D525,products!$A$1:$A$49,0), MATCH(J$1,products!$A$1:$G$1,0))</f>
        <v>D</v>
      </c>
      <c r="K525" s="4">
        <f>INDEX(products!$A$1:$G$49, MATCH(orders!$D525,products!$A$1:$A$49,0), MATCH(K$1,products!$A$1:$G$1,0))</f>
        <v>2.5</v>
      </c>
      <c r="L525" s="5">
        <f>INDEX(products!$A$1:$G$49, MATCH(orders!$D525,products!$A$1:$A$49,0), MATCH(L$1,products!$A$1:$G$1,0))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 = 0, "", _xlfn.XLOOKUP(C526,customers!$A$1:$A$1001,customers!$C$1:$C$1001,,0))</f>
        <v/>
      </c>
      <c r="H526" s="2" t="str">
        <f>_xlfn.XLOOKUP(C526,customers!$A$1:$A$1001,customers!$G$1:$G$1001,,0)</f>
        <v>United States</v>
      </c>
      <c r="I526" t="str">
        <f>INDEX(products!$A$1:$G$49, MATCH(orders!$D526,products!$A$1:$A$49,0), MATCH(I$1,products!$A$1:$G$1,0))</f>
        <v>Lib</v>
      </c>
      <c r="J526" t="str">
        <f>INDEX(products!$A$1:$G$49, MATCH(orders!$D526,products!$A$1:$A$49,0), MATCH(J$1,products!$A$1:$G$1,0))</f>
        <v>L</v>
      </c>
      <c r="K526" s="4">
        <f>INDEX(products!$A$1:$G$49, MATCH(orders!$D526,products!$A$1:$A$49,0), MATCH(K$1,products!$A$1:$G$1,0))</f>
        <v>2.5</v>
      </c>
      <c r="L526" s="5">
        <f>INDEX(products!$A$1:$G$49, MATCH(orders!$D526,products!$A$1:$A$49,0), MATCH(L$1,products!$A$1:$G$1,0))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 = 0, "", _xlfn.XLOOKUP(C527,customers!$A$1:$A$1001,customers!$C$1:$C$1001,,0))</f>
        <v/>
      </c>
      <c r="H527" s="2" t="str">
        <f>_xlfn.XLOOKUP(C527,customers!$A$1:$A$1001,customers!$G$1:$G$1001,,0)</f>
        <v>United States</v>
      </c>
      <c r="I527" t="str">
        <f>INDEX(products!$A$1:$G$49, MATCH(orders!$D527,products!$A$1:$A$49,0), MATCH(I$1,products!$A$1:$G$1,0))</f>
        <v>Rob</v>
      </c>
      <c r="J527" t="str">
        <f>INDEX(products!$A$1:$G$49, MATCH(orders!$D527,products!$A$1:$A$49,0), MATCH(J$1,products!$A$1:$G$1,0))</f>
        <v>D</v>
      </c>
      <c r="K527" s="4">
        <f>INDEX(products!$A$1:$G$49, MATCH(orders!$D527,products!$A$1:$A$49,0), MATCH(K$1,products!$A$1:$G$1,0))</f>
        <v>0.2</v>
      </c>
      <c r="L527" s="5">
        <f>INDEX(products!$A$1:$G$49, MATCH(orders!$D527,products!$A$1:$A$49,0), MATCH(L$1,products!$A$1:$G$1,0))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 = 0, "", _xlfn.XLOOKUP(C528,customers!$A$1:$A$1001,customers!$C$1:$C$1001,,0))</f>
        <v>wspeechlyem@amazon.com</v>
      </c>
      <c r="H528" s="2" t="str">
        <f>_xlfn.XLOOKUP(C528,customers!$A$1:$A$1001,customers!$G$1:$G$1001,,0)</f>
        <v>United States</v>
      </c>
      <c r="I528" t="str">
        <f>INDEX(products!$A$1:$G$49, MATCH(orders!$D528,products!$A$1:$A$49,0), MATCH(I$1,products!$A$1:$G$1,0))</f>
        <v>Exc</v>
      </c>
      <c r="J528" t="str">
        <f>INDEX(products!$A$1:$G$49, MATCH(orders!$D528,products!$A$1:$A$49,0), MATCH(J$1,products!$A$1:$G$1,0))</f>
        <v>M</v>
      </c>
      <c r="K528" s="4">
        <f>INDEX(products!$A$1:$G$49, MATCH(orders!$D528,products!$A$1:$A$49,0), MATCH(K$1,products!$A$1:$G$1,0))</f>
        <v>2.5</v>
      </c>
      <c r="L528" s="5">
        <f>INDEX(products!$A$1:$G$49, MATCH(orders!$D528,products!$A$1:$A$49,0), MATCH(L$1,products!$A$1:$G$1,0))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 = 0, "", _xlfn.XLOOKUP(C529,customers!$A$1:$A$1001,customers!$C$1:$C$1001,,0))</f>
        <v>iphillpoten@buzzfeed.com</v>
      </c>
      <c r="H529" s="2" t="str">
        <f>_xlfn.XLOOKUP(C529,customers!$A$1:$A$1001,customers!$G$1:$G$1001,,0)</f>
        <v>United Kingdom</v>
      </c>
      <c r="I529" t="str">
        <f>INDEX(products!$A$1:$G$49, MATCH(orders!$D529,products!$A$1:$A$49,0), MATCH(I$1,products!$A$1:$G$1,0))</f>
        <v>Exc</v>
      </c>
      <c r="J529" t="str">
        <f>INDEX(products!$A$1:$G$49, MATCH(orders!$D529,products!$A$1:$A$49,0), MATCH(J$1,products!$A$1:$G$1,0))</f>
        <v>M</v>
      </c>
      <c r="K529" s="4">
        <f>INDEX(products!$A$1:$G$49, MATCH(orders!$D529,products!$A$1:$A$49,0), MATCH(K$1,products!$A$1:$G$1,0))</f>
        <v>0.5</v>
      </c>
      <c r="L529" s="5">
        <f>INDEX(products!$A$1:$G$49, MATCH(orders!$D529,products!$A$1:$A$49,0), MATCH(L$1,products!$A$1:$G$1,0))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 = 0, "", _xlfn.XLOOKUP(C530,customers!$A$1:$A$1001,customers!$C$1:$C$1001,,0))</f>
        <v>lpennaccieo@statcounter.com</v>
      </c>
      <c r="H530" s="2" t="str">
        <f>_xlfn.XLOOKUP(C530,customers!$A$1:$A$1001,customers!$G$1:$G$1001,,0)</f>
        <v>United States</v>
      </c>
      <c r="I530" t="str">
        <f>INDEX(products!$A$1:$G$49, MATCH(orders!$D530,products!$A$1:$A$49,0), MATCH(I$1,products!$A$1:$G$1,0))</f>
        <v>Exc</v>
      </c>
      <c r="J530" t="str">
        <f>INDEX(products!$A$1:$G$49, MATCH(orders!$D530,products!$A$1:$A$49,0), MATCH(J$1,products!$A$1:$G$1,0))</f>
        <v>L</v>
      </c>
      <c r="K530" s="4">
        <f>INDEX(products!$A$1:$G$49, MATCH(orders!$D530,products!$A$1:$A$49,0), MATCH(K$1,products!$A$1:$G$1,0))</f>
        <v>0.5</v>
      </c>
      <c r="L530" s="5">
        <f>INDEX(products!$A$1:$G$49, MATCH(orders!$D530,products!$A$1:$A$49,0), MATCH(L$1,products!$A$1:$G$1,0))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 = 0, "", _xlfn.XLOOKUP(C531,customers!$A$1:$A$1001,customers!$C$1:$C$1001,,0))</f>
        <v>sarpinep@moonfruit.com</v>
      </c>
      <c r="H531" s="2" t="str">
        <f>_xlfn.XLOOKUP(C531,customers!$A$1:$A$1001,customers!$G$1:$G$1001,,0)</f>
        <v>United States</v>
      </c>
      <c r="I531" t="str">
        <f>INDEX(products!$A$1:$G$49, MATCH(orders!$D531,products!$A$1:$A$49,0), MATCH(I$1,products!$A$1:$G$1,0))</f>
        <v>Rob</v>
      </c>
      <c r="J531" t="str">
        <f>INDEX(products!$A$1:$G$49, MATCH(orders!$D531,products!$A$1:$A$49,0), MATCH(J$1,products!$A$1:$G$1,0))</f>
        <v>M</v>
      </c>
      <c r="K531" s="4">
        <f>INDEX(products!$A$1:$G$49, MATCH(orders!$D531,products!$A$1:$A$49,0), MATCH(K$1,products!$A$1:$G$1,0))</f>
        <v>1</v>
      </c>
      <c r="L531" s="5">
        <f>INDEX(products!$A$1:$G$49, MATCH(orders!$D531,products!$A$1:$A$49,0), MATCH(L$1,products!$A$1:$G$1,0))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 = 0, "", _xlfn.XLOOKUP(C532,customers!$A$1:$A$1001,customers!$C$1:$C$1001,,0))</f>
        <v>dfrieseq@cargocollective.com</v>
      </c>
      <c r="H532" s="2" t="str">
        <f>_xlfn.XLOOKUP(C532,customers!$A$1:$A$1001,customers!$G$1:$G$1001,,0)</f>
        <v>United States</v>
      </c>
      <c r="I532" t="str">
        <f>INDEX(products!$A$1:$G$49, MATCH(orders!$D532,products!$A$1:$A$49,0), MATCH(I$1,products!$A$1:$G$1,0))</f>
        <v>Rob</v>
      </c>
      <c r="J532" t="str">
        <f>INDEX(products!$A$1:$G$49, MATCH(orders!$D532,products!$A$1:$A$49,0), MATCH(J$1,products!$A$1:$G$1,0))</f>
        <v>M</v>
      </c>
      <c r="K532" s="4">
        <f>INDEX(products!$A$1:$G$49, MATCH(orders!$D532,products!$A$1:$A$49,0), MATCH(K$1,products!$A$1:$G$1,0))</f>
        <v>1</v>
      </c>
      <c r="L532" s="5">
        <f>INDEX(products!$A$1:$G$49, MATCH(orders!$D532,products!$A$1:$A$49,0), MATCH(L$1,products!$A$1:$G$1,0))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 = 0, "", _xlfn.XLOOKUP(C533,customers!$A$1:$A$1001,customers!$C$1:$C$1001,,0))</f>
        <v>rsharerer@flavors.me</v>
      </c>
      <c r="H533" s="2" t="str">
        <f>_xlfn.XLOOKUP(C533,customers!$A$1:$A$1001,customers!$G$1:$G$1001,,0)</f>
        <v>United States</v>
      </c>
      <c r="I533" t="str">
        <f>INDEX(products!$A$1:$G$49, MATCH(orders!$D533,products!$A$1:$A$49,0), MATCH(I$1,products!$A$1:$G$1,0))</f>
        <v>Rob</v>
      </c>
      <c r="J533" t="str">
        <f>INDEX(products!$A$1:$G$49, MATCH(orders!$D533,products!$A$1:$A$49,0), MATCH(J$1,products!$A$1:$G$1,0))</f>
        <v>D</v>
      </c>
      <c r="K533" s="4">
        <f>INDEX(products!$A$1:$G$49, MATCH(orders!$D533,products!$A$1:$A$49,0), MATCH(K$1,products!$A$1:$G$1,0))</f>
        <v>1</v>
      </c>
      <c r="L533" s="5">
        <f>INDEX(products!$A$1:$G$49, MATCH(orders!$D533,products!$A$1:$A$49,0), MATCH(L$1,products!$A$1:$G$1,0))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 = 0, "", _xlfn.XLOOKUP(C534,customers!$A$1:$A$1001,customers!$C$1:$C$1001,,0))</f>
        <v>nnasebyes@umich.edu</v>
      </c>
      <c r="H534" s="2" t="str">
        <f>_xlfn.XLOOKUP(C534,customers!$A$1:$A$1001,customers!$G$1:$G$1001,,0)</f>
        <v>United States</v>
      </c>
      <c r="I534" t="str">
        <f>INDEX(products!$A$1:$G$49, MATCH(orders!$D534,products!$A$1:$A$49,0), MATCH(I$1,products!$A$1:$G$1,0))</f>
        <v>Exc</v>
      </c>
      <c r="J534" t="str">
        <f>INDEX(products!$A$1:$G$49, MATCH(orders!$D534,products!$A$1:$A$49,0), MATCH(J$1,products!$A$1:$G$1,0))</f>
        <v>M</v>
      </c>
      <c r="K534" s="4">
        <f>INDEX(products!$A$1:$G$49, MATCH(orders!$D534,products!$A$1:$A$49,0), MATCH(K$1,products!$A$1:$G$1,0))</f>
        <v>0.5</v>
      </c>
      <c r="L534" s="5">
        <f>INDEX(products!$A$1:$G$49, MATCH(orders!$D534,products!$A$1:$A$49,0), MATCH(L$1,products!$A$1:$G$1,0))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 = 0, "", _xlfn.XLOOKUP(C535,customers!$A$1:$A$1001,customers!$C$1:$C$1001,,0))</f>
        <v/>
      </c>
      <c r="H535" s="2" t="str">
        <f>_xlfn.XLOOKUP(C535,customers!$A$1:$A$1001,customers!$G$1:$G$1001,,0)</f>
        <v>United States</v>
      </c>
      <c r="I535" t="str">
        <f>INDEX(products!$A$1:$G$49, MATCH(orders!$D535,products!$A$1:$A$49,0), MATCH(I$1,products!$A$1:$G$1,0))</f>
        <v>Rob</v>
      </c>
      <c r="J535" t="str">
        <f>INDEX(products!$A$1:$G$49, MATCH(orders!$D535,products!$A$1:$A$49,0), MATCH(J$1,products!$A$1:$G$1,0))</f>
        <v>D</v>
      </c>
      <c r="K535" s="4">
        <f>INDEX(products!$A$1:$G$49, MATCH(orders!$D535,products!$A$1:$A$49,0), MATCH(K$1,products!$A$1:$G$1,0))</f>
        <v>0.5</v>
      </c>
      <c r="L535" s="5">
        <f>INDEX(products!$A$1:$G$49, MATCH(orders!$D535,products!$A$1:$A$49,0), MATCH(L$1,products!$A$1:$G$1,0))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 = 0, "", _xlfn.XLOOKUP(C536,customers!$A$1:$A$1001,customers!$C$1:$C$1001,,0))</f>
        <v>koculleneu@ca.gov</v>
      </c>
      <c r="H536" s="2" t="str">
        <f>_xlfn.XLOOKUP(C536,customers!$A$1:$A$1001,customers!$G$1:$G$1001,,0)</f>
        <v>Ireland</v>
      </c>
      <c r="I536" t="str">
        <f>INDEX(products!$A$1:$G$49, MATCH(orders!$D536,products!$A$1:$A$49,0), MATCH(I$1,products!$A$1:$G$1,0))</f>
        <v>Rob</v>
      </c>
      <c r="J536" t="str">
        <f>INDEX(products!$A$1:$G$49, MATCH(orders!$D536,products!$A$1:$A$49,0), MATCH(J$1,products!$A$1:$G$1,0))</f>
        <v>M</v>
      </c>
      <c r="K536" s="4">
        <f>INDEX(products!$A$1:$G$49, MATCH(orders!$D536,products!$A$1:$A$49,0), MATCH(K$1,products!$A$1:$G$1,0))</f>
        <v>2.5</v>
      </c>
      <c r="L536" s="5">
        <f>INDEX(products!$A$1:$G$49, MATCH(orders!$D536,products!$A$1:$A$49,0), MATCH(L$1,products!$A$1:$G$1,0))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 = 0, "", _xlfn.XLOOKUP(C537,customers!$A$1:$A$1001,customers!$C$1:$C$1001,,0))</f>
        <v/>
      </c>
      <c r="H537" s="2" t="str">
        <f>_xlfn.XLOOKUP(C537,customers!$A$1:$A$1001,customers!$G$1:$G$1001,,0)</f>
        <v>Ireland</v>
      </c>
      <c r="I537" t="str">
        <f>INDEX(products!$A$1:$G$49, MATCH(orders!$D537,products!$A$1:$A$49,0), MATCH(I$1,products!$A$1:$G$1,0))</f>
        <v>Lib</v>
      </c>
      <c r="J537" t="str">
        <f>INDEX(products!$A$1:$G$49, MATCH(orders!$D537,products!$A$1:$A$49,0), MATCH(J$1,products!$A$1:$G$1,0))</f>
        <v>L</v>
      </c>
      <c r="K537" s="4">
        <f>INDEX(products!$A$1:$G$49, MATCH(orders!$D537,products!$A$1:$A$49,0), MATCH(K$1,products!$A$1:$G$1,0))</f>
        <v>0.2</v>
      </c>
      <c r="L537" s="5">
        <f>INDEX(products!$A$1:$G$49, MATCH(orders!$D537,products!$A$1:$A$49,0), MATCH(L$1,products!$A$1:$G$1,0))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 = 0, "", _xlfn.XLOOKUP(C538,customers!$A$1:$A$1001,customers!$C$1:$C$1001,,0))</f>
        <v>murione5@alexa.com</v>
      </c>
      <c r="H538" s="2" t="str">
        <f>_xlfn.XLOOKUP(C538,customers!$A$1:$A$1001,customers!$G$1:$G$1001,,0)</f>
        <v>Ireland</v>
      </c>
      <c r="I538" t="str">
        <f>INDEX(products!$A$1:$G$49, MATCH(orders!$D538,products!$A$1:$A$49,0), MATCH(I$1,products!$A$1:$G$1,0))</f>
        <v>Rob</v>
      </c>
      <c r="J538" t="str">
        <f>INDEX(products!$A$1:$G$49, MATCH(orders!$D538,products!$A$1:$A$49,0), MATCH(J$1,products!$A$1:$G$1,0))</f>
        <v>D</v>
      </c>
      <c r="K538" s="4">
        <f>INDEX(products!$A$1:$G$49, MATCH(orders!$D538,products!$A$1:$A$49,0), MATCH(K$1,products!$A$1:$G$1,0))</f>
        <v>0.2</v>
      </c>
      <c r="L538" s="5">
        <f>INDEX(products!$A$1:$G$49, MATCH(orders!$D538,products!$A$1:$A$49,0), MATCH(L$1,products!$A$1:$G$1,0))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 = 0, "", _xlfn.XLOOKUP(C539,customers!$A$1:$A$1001,customers!$C$1:$C$1001,,0))</f>
        <v>hbranganex@woothemes.com</v>
      </c>
      <c r="H539" s="2" t="str">
        <f>_xlfn.XLOOKUP(C539,customers!$A$1:$A$1001,customers!$G$1:$G$1001,,0)</f>
        <v>United States</v>
      </c>
      <c r="I539" t="str">
        <f>INDEX(products!$A$1:$G$49, MATCH(orders!$D539,products!$A$1:$A$49,0), MATCH(I$1,products!$A$1:$G$1,0))</f>
        <v>Exc</v>
      </c>
      <c r="J539" t="str">
        <f>INDEX(products!$A$1:$G$49, MATCH(orders!$D539,products!$A$1:$A$49,0), MATCH(J$1,products!$A$1:$G$1,0))</f>
        <v>D</v>
      </c>
      <c r="K539" s="4">
        <f>INDEX(products!$A$1:$G$49, MATCH(orders!$D539,products!$A$1:$A$49,0), MATCH(K$1,products!$A$1:$G$1,0))</f>
        <v>2.5</v>
      </c>
      <c r="L539" s="5">
        <f>INDEX(products!$A$1:$G$49, MATCH(orders!$D539,products!$A$1:$A$49,0), MATCH(L$1,products!$A$1:$G$1,0))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 = 0, "", _xlfn.XLOOKUP(C540,customers!$A$1:$A$1001,customers!$C$1:$C$1001,,0))</f>
        <v>agallyoney@engadget.com</v>
      </c>
      <c r="H540" s="2" t="str">
        <f>_xlfn.XLOOKUP(C540,customers!$A$1:$A$1001,customers!$G$1:$G$1001,,0)</f>
        <v>United States</v>
      </c>
      <c r="I540" t="str">
        <f>INDEX(products!$A$1:$G$49, MATCH(orders!$D540,products!$A$1:$A$49,0), MATCH(I$1,products!$A$1:$G$1,0))</f>
        <v>Rob</v>
      </c>
      <c r="J540" t="str">
        <f>INDEX(products!$A$1:$G$49, MATCH(orders!$D540,products!$A$1:$A$49,0), MATCH(J$1,products!$A$1:$G$1,0))</f>
        <v>D</v>
      </c>
      <c r="K540" s="4">
        <f>INDEX(products!$A$1:$G$49, MATCH(orders!$D540,products!$A$1:$A$49,0), MATCH(K$1,products!$A$1:$G$1,0))</f>
        <v>0.2</v>
      </c>
      <c r="L540" s="5">
        <f>INDEX(products!$A$1:$G$49, MATCH(orders!$D540,products!$A$1:$A$49,0), MATCH(L$1,products!$A$1:$G$1,0))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 = 0, "", _xlfn.XLOOKUP(C541,customers!$A$1:$A$1001,customers!$C$1:$C$1001,,0))</f>
        <v>bdomangeez@yahoo.co.jp</v>
      </c>
      <c r="H541" s="2" t="str">
        <f>_xlfn.XLOOKUP(C541,customers!$A$1:$A$1001,customers!$G$1:$G$1001,,0)</f>
        <v>United States</v>
      </c>
      <c r="I541" t="str">
        <f>INDEX(products!$A$1:$G$49, MATCH(orders!$D541,products!$A$1:$A$49,0), MATCH(I$1,products!$A$1:$G$1,0))</f>
        <v>Rob</v>
      </c>
      <c r="J541" t="str">
        <f>INDEX(products!$A$1:$G$49, MATCH(orders!$D541,products!$A$1:$A$49,0), MATCH(J$1,products!$A$1:$G$1,0))</f>
        <v>D</v>
      </c>
      <c r="K541" s="4">
        <f>INDEX(products!$A$1:$G$49, MATCH(orders!$D541,products!$A$1:$A$49,0), MATCH(K$1,products!$A$1:$G$1,0))</f>
        <v>0.5</v>
      </c>
      <c r="L541" s="5">
        <f>INDEX(products!$A$1:$G$49, MATCH(orders!$D541,products!$A$1:$A$49,0), MATCH(L$1,products!$A$1:$G$1,0))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 = 0, "", _xlfn.XLOOKUP(C542,customers!$A$1:$A$1001,customers!$C$1:$C$1001,,0))</f>
        <v>koslerf0@gmpg.org</v>
      </c>
      <c r="H542" s="2" t="str">
        <f>_xlfn.XLOOKUP(C542,customers!$A$1:$A$1001,customers!$G$1:$G$1001,,0)</f>
        <v>United States</v>
      </c>
      <c r="I542" t="str">
        <f>INDEX(products!$A$1:$G$49, MATCH(orders!$D542,products!$A$1:$A$49,0), MATCH(I$1,products!$A$1:$G$1,0))</f>
        <v>Lib</v>
      </c>
      <c r="J542" t="str">
        <f>INDEX(products!$A$1:$G$49, MATCH(orders!$D542,products!$A$1:$A$49,0), MATCH(J$1,products!$A$1:$G$1,0))</f>
        <v>L</v>
      </c>
      <c r="K542" s="4">
        <f>INDEX(products!$A$1:$G$49, MATCH(orders!$D542,products!$A$1:$A$49,0), MATCH(K$1,products!$A$1:$G$1,0))</f>
        <v>1</v>
      </c>
      <c r="L542" s="5">
        <f>INDEX(products!$A$1:$G$49, MATCH(orders!$D542,products!$A$1:$A$49,0), MATCH(L$1,products!$A$1:$G$1,0))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 = 0, "", _xlfn.XLOOKUP(C543,customers!$A$1:$A$1001,customers!$C$1:$C$1001,,0))</f>
        <v/>
      </c>
      <c r="H543" s="2" t="str">
        <f>_xlfn.XLOOKUP(C543,customers!$A$1:$A$1001,customers!$G$1:$G$1001,,0)</f>
        <v>Ireland</v>
      </c>
      <c r="I543" t="str">
        <f>INDEX(products!$A$1:$G$49, MATCH(orders!$D543,products!$A$1:$A$49,0), MATCH(I$1,products!$A$1:$G$1,0))</f>
        <v>Ara</v>
      </c>
      <c r="J543" t="str">
        <f>INDEX(products!$A$1:$G$49, MATCH(orders!$D543,products!$A$1:$A$49,0), MATCH(J$1,products!$A$1:$G$1,0))</f>
        <v>D</v>
      </c>
      <c r="K543" s="4">
        <f>INDEX(products!$A$1:$G$49, MATCH(orders!$D543,products!$A$1:$A$49,0), MATCH(K$1,products!$A$1:$G$1,0))</f>
        <v>2.5</v>
      </c>
      <c r="L543" s="5">
        <f>INDEX(products!$A$1:$G$49, MATCH(orders!$D543,products!$A$1:$A$49,0), MATCH(L$1,products!$A$1:$G$1,0))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 = 0, "", _xlfn.XLOOKUP(C544,customers!$A$1:$A$1001,customers!$C$1:$C$1001,,0))</f>
        <v>zpellettf2@dailymotion.com</v>
      </c>
      <c r="H544" s="2" t="str">
        <f>_xlfn.XLOOKUP(C544,customers!$A$1:$A$1001,customers!$G$1:$G$1001,,0)</f>
        <v>United States</v>
      </c>
      <c r="I544" t="str">
        <f>INDEX(products!$A$1:$G$49, MATCH(orders!$D544,products!$A$1:$A$49,0), MATCH(I$1,products!$A$1:$G$1,0))</f>
        <v>Ara</v>
      </c>
      <c r="J544" t="str">
        <f>INDEX(products!$A$1:$G$49, MATCH(orders!$D544,products!$A$1:$A$49,0), MATCH(J$1,products!$A$1:$G$1,0))</f>
        <v>M</v>
      </c>
      <c r="K544" s="4">
        <f>INDEX(products!$A$1:$G$49, MATCH(orders!$D544,products!$A$1:$A$49,0), MATCH(K$1,products!$A$1:$G$1,0))</f>
        <v>2.5</v>
      </c>
      <c r="L544" s="5">
        <f>INDEX(products!$A$1:$G$49, MATCH(orders!$D544,products!$A$1:$A$49,0), MATCH(L$1,products!$A$1:$G$1,0))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 = 0, "", _xlfn.XLOOKUP(C545,customers!$A$1:$A$1001,customers!$C$1:$C$1001,,0))</f>
        <v>isprakesf3@spiegel.de</v>
      </c>
      <c r="H545" s="2" t="str">
        <f>_xlfn.XLOOKUP(C545,customers!$A$1:$A$1001,customers!$G$1:$G$1001,,0)</f>
        <v>United States</v>
      </c>
      <c r="I545" t="str">
        <f>INDEX(products!$A$1:$G$49, MATCH(orders!$D545,products!$A$1:$A$49,0), MATCH(I$1,products!$A$1:$G$1,0))</f>
        <v>Rob</v>
      </c>
      <c r="J545" t="str">
        <f>INDEX(products!$A$1:$G$49, MATCH(orders!$D545,products!$A$1:$A$49,0), MATCH(J$1,products!$A$1:$G$1,0))</f>
        <v>L</v>
      </c>
      <c r="K545" s="4">
        <f>INDEX(products!$A$1:$G$49, MATCH(orders!$D545,products!$A$1:$A$49,0), MATCH(K$1,products!$A$1:$G$1,0))</f>
        <v>2.5</v>
      </c>
      <c r="L545" s="5">
        <f>INDEX(products!$A$1:$G$49, MATCH(orders!$D545,products!$A$1:$A$49,0), MATCH(L$1,products!$A$1:$G$1,0))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 = 0, "", _xlfn.XLOOKUP(C546,customers!$A$1:$A$1001,customers!$C$1:$C$1001,,0))</f>
        <v>hfromantf4@ucsd.edu</v>
      </c>
      <c r="H546" s="2" t="str">
        <f>_xlfn.XLOOKUP(C546,customers!$A$1:$A$1001,customers!$G$1:$G$1001,,0)</f>
        <v>United States</v>
      </c>
      <c r="I546" t="str">
        <f>INDEX(products!$A$1:$G$49, MATCH(orders!$D546,products!$A$1:$A$49,0), MATCH(I$1,products!$A$1:$G$1,0))</f>
        <v>Ara</v>
      </c>
      <c r="J546" t="str">
        <f>INDEX(products!$A$1:$G$49, MATCH(orders!$D546,products!$A$1:$A$49,0), MATCH(J$1,products!$A$1:$G$1,0))</f>
        <v>L</v>
      </c>
      <c r="K546" s="4">
        <f>INDEX(products!$A$1:$G$49, MATCH(orders!$D546,products!$A$1:$A$49,0), MATCH(K$1,products!$A$1:$G$1,0))</f>
        <v>0.5</v>
      </c>
      <c r="L546" s="5">
        <f>INDEX(products!$A$1:$G$49, MATCH(orders!$D546,products!$A$1:$A$49,0), MATCH(L$1,products!$A$1:$G$1,0))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 = 0, "", _xlfn.XLOOKUP(C547,customers!$A$1:$A$1001,customers!$C$1:$C$1001,,0))</f>
        <v>rflearf5@artisteer.com</v>
      </c>
      <c r="H547" s="2" t="str">
        <f>_xlfn.XLOOKUP(C547,customers!$A$1:$A$1001,customers!$G$1:$G$1001,,0)</f>
        <v>United Kingdom</v>
      </c>
      <c r="I547" t="str">
        <f>INDEX(products!$A$1:$G$49, MATCH(orders!$D547,products!$A$1:$A$49,0), MATCH(I$1,products!$A$1:$G$1,0))</f>
        <v>Lib</v>
      </c>
      <c r="J547" t="str">
        <f>INDEX(products!$A$1:$G$49, MATCH(orders!$D547,products!$A$1:$A$49,0), MATCH(J$1,products!$A$1:$G$1,0))</f>
        <v>D</v>
      </c>
      <c r="K547" s="4">
        <f>INDEX(products!$A$1:$G$49, MATCH(orders!$D547,products!$A$1:$A$49,0), MATCH(K$1,products!$A$1:$G$1,0))</f>
        <v>0.2</v>
      </c>
      <c r="L547" s="5">
        <f>INDEX(products!$A$1:$G$49, MATCH(orders!$D547,products!$A$1:$A$49,0), MATCH(L$1,products!$A$1:$G$1,0))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 = 0, "", _xlfn.XLOOKUP(C548,customers!$A$1:$A$1001,customers!$C$1:$C$1001,,0))</f>
        <v/>
      </c>
      <c r="H548" s="2" t="str">
        <f>_xlfn.XLOOKUP(C548,customers!$A$1:$A$1001,customers!$G$1:$G$1001,,0)</f>
        <v>Ireland</v>
      </c>
      <c r="I548" t="str">
        <f>INDEX(products!$A$1:$G$49, MATCH(orders!$D548,products!$A$1:$A$49,0), MATCH(I$1,products!$A$1:$G$1,0))</f>
        <v>Exc</v>
      </c>
      <c r="J548" t="str">
        <f>INDEX(products!$A$1:$G$49, MATCH(orders!$D548,products!$A$1:$A$49,0), MATCH(J$1,products!$A$1:$G$1,0))</f>
        <v>D</v>
      </c>
      <c r="K548" s="4">
        <f>INDEX(products!$A$1:$G$49, MATCH(orders!$D548,products!$A$1:$A$49,0), MATCH(K$1,products!$A$1:$G$1,0))</f>
        <v>2.5</v>
      </c>
      <c r="L548" s="5">
        <f>INDEX(products!$A$1:$G$49, MATCH(orders!$D548,products!$A$1:$A$49,0), MATCH(L$1,products!$A$1:$G$1,0))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 = 0, "", _xlfn.XLOOKUP(C549,customers!$A$1:$A$1001,customers!$C$1:$C$1001,,0))</f>
        <v>wlightollersf9@baidu.com</v>
      </c>
      <c r="H549" s="2" t="str">
        <f>_xlfn.XLOOKUP(C549,customers!$A$1:$A$1001,customers!$G$1:$G$1001,,0)</f>
        <v>United States</v>
      </c>
      <c r="I549" t="str">
        <f>INDEX(products!$A$1:$G$49, MATCH(orders!$D549,products!$A$1:$A$49,0), MATCH(I$1,products!$A$1:$G$1,0))</f>
        <v>Rob</v>
      </c>
      <c r="J549" t="str">
        <f>INDEX(products!$A$1:$G$49, MATCH(orders!$D549,products!$A$1:$A$49,0), MATCH(J$1,products!$A$1:$G$1,0))</f>
        <v>L</v>
      </c>
      <c r="K549" s="4">
        <f>INDEX(products!$A$1:$G$49, MATCH(orders!$D549,products!$A$1:$A$49,0), MATCH(K$1,products!$A$1:$G$1,0))</f>
        <v>0.2</v>
      </c>
      <c r="L549" s="5">
        <f>INDEX(products!$A$1:$G$49, MATCH(orders!$D549,products!$A$1:$A$49,0), MATCH(L$1,products!$A$1:$G$1,0))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 = 0, "", _xlfn.XLOOKUP(C550,customers!$A$1:$A$1001,customers!$C$1:$C$1001,,0))</f>
        <v>bmundenf8@elpais.com</v>
      </c>
      <c r="H550" s="2" t="str">
        <f>_xlfn.XLOOKUP(C550,customers!$A$1:$A$1001,customers!$G$1:$G$1001,,0)</f>
        <v>United States</v>
      </c>
      <c r="I550" t="str">
        <f>INDEX(products!$A$1:$G$49, MATCH(orders!$D550,products!$A$1:$A$49,0), MATCH(I$1,products!$A$1:$G$1,0))</f>
        <v>Exc</v>
      </c>
      <c r="J550" t="str">
        <f>INDEX(products!$A$1:$G$49, MATCH(orders!$D550,products!$A$1:$A$49,0), MATCH(J$1,products!$A$1:$G$1,0))</f>
        <v>L</v>
      </c>
      <c r="K550" s="4">
        <f>INDEX(products!$A$1:$G$49, MATCH(orders!$D550,products!$A$1:$A$49,0), MATCH(K$1,products!$A$1:$G$1,0))</f>
        <v>0.2</v>
      </c>
      <c r="L550" s="5">
        <f>INDEX(products!$A$1:$G$49, MATCH(orders!$D550,products!$A$1:$A$49,0), MATCH(L$1,products!$A$1:$G$1,0))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 = 0, "", _xlfn.XLOOKUP(C551,customers!$A$1:$A$1001,customers!$C$1:$C$1001,,0))</f>
        <v>wlightollersf9@baidu.com</v>
      </c>
      <c r="H551" s="2" t="str">
        <f>_xlfn.XLOOKUP(C551,customers!$A$1:$A$1001,customers!$G$1:$G$1001,,0)</f>
        <v>United States</v>
      </c>
      <c r="I551" t="str">
        <f>INDEX(products!$A$1:$G$49, MATCH(orders!$D551,products!$A$1:$A$49,0), MATCH(I$1,products!$A$1:$G$1,0))</f>
        <v>Exc</v>
      </c>
      <c r="J551" t="str">
        <f>INDEX(products!$A$1:$G$49, MATCH(orders!$D551,products!$A$1:$A$49,0), MATCH(J$1,products!$A$1:$G$1,0))</f>
        <v>L</v>
      </c>
      <c r="K551" s="4">
        <f>INDEX(products!$A$1:$G$49, MATCH(orders!$D551,products!$A$1:$A$49,0), MATCH(K$1,products!$A$1:$G$1,0))</f>
        <v>0.2</v>
      </c>
      <c r="L551" s="5">
        <f>INDEX(products!$A$1:$G$49, MATCH(orders!$D551,products!$A$1:$A$49,0), MATCH(L$1,products!$A$1:$G$1,0))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 = 0, "", _xlfn.XLOOKUP(C552,customers!$A$1:$A$1001,customers!$C$1:$C$1001,,0))</f>
        <v>nbrakespearfa@rediff.com</v>
      </c>
      <c r="H552" s="2" t="str">
        <f>_xlfn.XLOOKUP(C552,customers!$A$1:$A$1001,customers!$G$1:$G$1001,,0)</f>
        <v>United States</v>
      </c>
      <c r="I552" t="str">
        <f>INDEX(products!$A$1:$G$49, MATCH(orders!$D552,products!$A$1:$A$49,0), MATCH(I$1,products!$A$1:$G$1,0))</f>
        <v>Lib</v>
      </c>
      <c r="J552" t="str">
        <f>INDEX(products!$A$1:$G$49, MATCH(orders!$D552,products!$A$1:$A$49,0), MATCH(J$1,products!$A$1:$G$1,0))</f>
        <v>D</v>
      </c>
      <c r="K552" s="4">
        <f>INDEX(products!$A$1:$G$49, MATCH(orders!$D552,products!$A$1:$A$49,0), MATCH(K$1,products!$A$1:$G$1,0))</f>
        <v>0.2</v>
      </c>
      <c r="L552" s="5">
        <f>INDEX(products!$A$1:$G$49, MATCH(orders!$D552,products!$A$1:$A$49,0), MATCH(L$1,products!$A$1:$G$1,0))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 = 0, "", _xlfn.XLOOKUP(C553,customers!$A$1:$A$1001,customers!$C$1:$C$1001,,0))</f>
        <v>mglawsopfb@reverbnation.com</v>
      </c>
      <c r="H553" s="2" t="str">
        <f>_xlfn.XLOOKUP(C553,customers!$A$1:$A$1001,customers!$G$1:$G$1001,,0)</f>
        <v>United States</v>
      </c>
      <c r="I553" t="str">
        <f>INDEX(products!$A$1:$G$49, MATCH(orders!$D553,products!$A$1:$A$49,0), MATCH(I$1,products!$A$1:$G$1,0))</f>
        <v>Exc</v>
      </c>
      <c r="J553" t="str">
        <f>INDEX(products!$A$1:$G$49, MATCH(orders!$D553,products!$A$1:$A$49,0), MATCH(J$1,products!$A$1:$G$1,0))</f>
        <v>D</v>
      </c>
      <c r="K553" s="4">
        <f>INDEX(products!$A$1:$G$49, MATCH(orders!$D553,products!$A$1:$A$49,0), MATCH(K$1,products!$A$1:$G$1,0))</f>
        <v>0.2</v>
      </c>
      <c r="L553" s="5">
        <f>INDEX(products!$A$1:$G$49, MATCH(orders!$D553,products!$A$1:$A$49,0), MATCH(L$1,products!$A$1:$G$1,0))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 = 0, "", _xlfn.XLOOKUP(C554,customers!$A$1:$A$1001,customers!$C$1:$C$1001,,0))</f>
        <v>galbertsfc@etsy.com</v>
      </c>
      <c r="H554" s="2" t="str">
        <f>_xlfn.XLOOKUP(C554,customers!$A$1:$A$1001,customers!$G$1:$G$1001,,0)</f>
        <v>United Kingdom</v>
      </c>
      <c r="I554" t="str">
        <f>INDEX(products!$A$1:$G$49, MATCH(orders!$D554,products!$A$1:$A$49,0), MATCH(I$1,products!$A$1:$G$1,0))</f>
        <v>Exc</v>
      </c>
      <c r="J554" t="str">
        <f>INDEX(products!$A$1:$G$49, MATCH(orders!$D554,products!$A$1:$A$49,0), MATCH(J$1,products!$A$1:$G$1,0))</f>
        <v>L</v>
      </c>
      <c r="K554" s="4">
        <f>INDEX(products!$A$1:$G$49, MATCH(orders!$D554,products!$A$1:$A$49,0), MATCH(K$1,products!$A$1:$G$1,0))</f>
        <v>0.2</v>
      </c>
      <c r="L554" s="5">
        <f>INDEX(products!$A$1:$G$49, MATCH(orders!$D554,products!$A$1:$A$49,0), MATCH(L$1,products!$A$1:$G$1,0))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 = 0, "", _xlfn.XLOOKUP(C555,customers!$A$1:$A$1001,customers!$C$1:$C$1001,,0))</f>
        <v>vpolglasefd@about.me</v>
      </c>
      <c r="H555" s="2" t="str">
        <f>_xlfn.XLOOKUP(C555,customers!$A$1:$A$1001,customers!$G$1:$G$1001,,0)</f>
        <v>United States</v>
      </c>
      <c r="I555" t="str">
        <f>INDEX(products!$A$1:$G$49, MATCH(orders!$D555,products!$A$1:$A$49,0), MATCH(I$1,products!$A$1:$G$1,0))</f>
        <v>Exc</v>
      </c>
      <c r="J555" t="str">
        <f>INDEX(products!$A$1:$G$49, MATCH(orders!$D555,products!$A$1:$A$49,0), MATCH(J$1,products!$A$1:$G$1,0))</f>
        <v>M</v>
      </c>
      <c r="K555" s="4">
        <f>INDEX(products!$A$1:$G$49, MATCH(orders!$D555,products!$A$1:$A$49,0), MATCH(K$1,products!$A$1:$G$1,0))</f>
        <v>1</v>
      </c>
      <c r="L555" s="5">
        <f>INDEX(products!$A$1:$G$49, MATCH(orders!$D555,products!$A$1:$A$49,0), MATCH(L$1,products!$A$1:$G$1,0))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 = 0, "", _xlfn.XLOOKUP(C556,customers!$A$1:$A$1001,customers!$C$1:$C$1001,,0))</f>
        <v/>
      </c>
      <c r="H556" s="2" t="str">
        <f>_xlfn.XLOOKUP(C556,customers!$A$1:$A$1001,customers!$G$1:$G$1001,,0)</f>
        <v>United Kingdom</v>
      </c>
      <c r="I556" t="str">
        <f>INDEX(products!$A$1:$G$49, MATCH(orders!$D556,products!$A$1:$A$49,0), MATCH(I$1,products!$A$1:$G$1,0))</f>
        <v>Rob</v>
      </c>
      <c r="J556" t="str">
        <f>INDEX(products!$A$1:$G$49, MATCH(orders!$D556,products!$A$1:$A$49,0), MATCH(J$1,products!$A$1:$G$1,0))</f>
        <v>L</v>
      </c>
      <c r="K556" s="4">
        <f>INDEX(products!$A$1:$G$49, MATCH(orders!$D556,products!$A$1:$A$49,0), MATCH(K$1,products!$A$1:$G$1,0))</f>
        <v>2.5</v>
      </c>
      <c r="L556" s="5">
        <f>INDEX(products!$A$1:$G$49, MATCH(orders!$D556,products!$A$1:$A$49,0), MATCH(L$1,products!$A$1:$G$1,0))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 = 0, "", _xlfn.XLOOKUP(C557,customers!$A$1:$A$1001,customers!$C$1:$C$1001,,0))</f>
        <v>sbuschff@so-net.ne.jp</v>
      </c>
      <c r="H557" s="2" t="str">
        <f>_xlfn.XLOOKUP(C557,customers!$A$1:$A$1001,customers!$G$1:$G$1001,,0)</f>
        <v>Ireland</v>
      </c>
      <c r="I557" t="str">
        <f>INDEX(products!$A$1:$G$49, MATCH(orders!$D557,products!$A$1:$A$49,0), MATCH(I$1,products!$A$1:$G$1,0))</f>
        <v>Exc</v>
      </c>
      <c r="J557" t="str">
        <f>INDEX(products!$A$1:$G$49, MATCH(orders!$D557,products!$A$1:$A$49,0), MATCH(J$1,products!$A$1:$G$1,0))</f>
        <v>M</v>
      </c>
      <c r="K557" s="4">
        <f>INDEX(products!$A$1:$G$49, MATCH(orders!$D557,products!$A$1:$A$49,0), MATCH(K$1,products!$A$1:$G$1,0))</f>
        <v>1</v>
      </c>
      <c r="L557" s="5">
        <f>INDEX(products!$A$1:$G$49, MATCH(orders!$D557,products!$A$1:$A$49,0), MATCH(L$1,products!$A$1:$G$1,0))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 = 0, "", _xlfn.XLOOKUP(C558,customers!$A$1:$A$1001,customers!$C$1:$C$1001,,0))</f>
        <v>craisbeckfg@webnode.com</v>
      </c>
      <c r="H558" s="2" t="str">
        <f>_xlfn.XLOOKUP(C558,customers!$A$1:$A$1001,customers!$G$1:$G$1001,,0)</f>
        <v>United States</v>
      </c>
      <c r="I558" t="str">
        <f>INDEX(products!$A$1:$G$49, MATCH(orders!$D558,products!$A$1:$A$49,0), MATCH(I$1,products!$A$1:$G$1,0))</f>
        <v>Lib</v>
      </c>
      <c r="J558" t="str">
        <f>INDEX(products!$A$1:$G$49, MATCH(orders!$D558,products!$A$1:$A$49,0), MATCH(J$1,products!$A$1:$G$1,0))</f>
        <v>M</v>
      </c>
      <c r="K558" s="4">
        <f>INDEX(products!$A$1:$G$49, MATCH(orders!$D558,products!$A$1:$A$49,0), MATCH(K$1,products!$A$1:$G$1,0))</f>
        <v>0.2</v>
      </c>
      <c r="L558" s="5">
        <f>INDEX(products!$A$1:$G$49, MATCH(orders!$D558,products!$A$1:$A$49,0), MATCH(L$1,products!$A$1:$G$1,0))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 = 0, "", _xlfn.XLOOKUP(C559,customers!$A$1:$A$1001,customers!$C$1:$C$1001,,0))</f>
        <v>murione5@alexa.com</v>
      </c>
      <c r="H559" s="2" t="str">
        <f>_xlfn.XLOOKUP(C559,customers!$A$1:$A$1001,customers!$G$1:$G$1001,,0)</f>
        <v>Ireland</v>
      </c>
      <c r="I559" t="str">
        <f>INDEX(products!$A$1:$G$49, MATCH(orders!$D559,products!$A$1:$A$49,0), MATCH(I$1,products!$A$1:$G$1,0))</f>
        <v>Exc</v>
      </c>
      <c r="J559" t="str">
        <f>INDEX(products!$A$1:$G$49, MATCH(orders!$D559,products!$A$1:$A$49,0), MATCH(J$1,products!$A$1:$G$1,0))</f>
        <v>L</v>
      </c>
      <c r="K559" s="4">
        <f>INDEX(products!$A$1:$G$49, MATCH(orders!$D559,products!$A$1:$A$49,0), MATCH(K$1,products!$A$1:$G$1,0))</f>
        <v>1</v>
      </c>
      <c r="L559" s="5">
        <f>INDEX(products!$A$1:$G$49, MATCH(orders!$D559,products!$A$1:$A$49,0), MATCH(L$1,products!$A$1:$G$1,0))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 = 0, "", _xlfn.XLOOKUP(C560,customers!$A$1:$A$1001,customers!$C$1:$C$1001,,0))</f>
        <v/>
      </c>
      <c r="H560" s="2" t="str">
        <f>_xlfn.XLOOKUP(C560,customers!$A$1:$A$1001,customers!$G$1:$G$1001,,0)</f>
        <v>United States</v>
      </c>
      <c r="I560" t="str">
        <f>INDEX(products!$A$1:$G$49, MATCH(orders!$D560,products!$A$1:$A$49,0), MATCH(I$1,products!$A$1:$G$1,0))</f>
        <v>Lib</v>
      </c>
      <c r="J560" t="str">
        <f>INDEX(products!$A$1:$G$49, MATCH(orders!$D560,products!$A$1:$A$49,0), MATCH(J$1,products!$A$1:$G$1,0))</f>
        <v>D</v>
      </c>
      <c r="K560" s="4">
        <f>INDEX(products!$A$1:$G$49, MATCH(orders!$D560,products!$A$1:$A$49,0), MATCH(K$1,products!$A$1:$G$1,0))</f>
        <v>0.2</v>
      </c>
      <c r="L560" s="5">
        <f>INDEX(products!$A$1:$G$49, MATCH(orders!$D560,products!$A$1:$A$49,0), MATCH(L$1,products!$A$1:$G$1,0))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 = 0, "", _xlfn.XLOOKUP(C561,customers!$A$1:$A$1001,customers!$C$1:$C$1001,,0))</f>
        <v>raynoldfj@ustream.tv</v>
      </c>
      <c r="H561" s="2" t="str">
        <f>_xlfn.XLOOKUP(C561,customers!$A$1:$A$1001,customers!$G$1:$G$1001,,0)</f>
        <v>United States</v>
      </c>
      <c r="I561" t="str">
        <f>INDEX(products!$A$1:$G$49, MATCH(orders!$D561,products!$A$1:$A$49,0), MATCH(I$1,products!$A$1:$G$1,0))</f>
        <v>Ara</v>
      </c>
      <c r="J561" t="str">
        <f>INDEX(products!$A$1:$G$49, MATCH(orders!$D561,products!$A$1:$A$49,0), MATCH(J$1,products!$A$1:$G$1,0))</f>
        <v>L</v>
      </c>
      <c r="K561" s="4">
        <f>INDEX(products!$A$1:$G$49, MATCH(orders!$D561,products!$A$1:$A$49,0), MATCH(K$1,products!$A$1:$G$1,0))</f>
        <v>1</v>
      </c>
      <c r="L561" s="5">
        <f>INDEX(products!$A$1:$G$49, MATCH(orders!$D561,products!$A$1:$A$49,0), MATCH(L$1,products!$A$1:$G$1,0))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 = 0, "", _xlfn.XLOOKUP(C562,customers!$A$1:$A$1001,customers!$C$1:$C$1001,,0))</f>
        <v/>
      </c>
      <c r="H562" s="2" t="str">
        <f>_xlfn.XLOOKUP(C562,customers!$A$1:$A$1001,customers!$G$1:$G$1001,,0)</f>
        <v>United States</v>
      </c>
      <c r="I562" t="str">
        <f>INDEX(products!$A$1:$G$49, MATCH(orders!$D562,products!$A$1:$A$49,0), MATCH(I$1,products!$A$1:$G$1,0))</f>
        <v>Exc</v>
      </c>
      <c r="J562" t="str">
        <f>INDEX(products!$A$1:$G$49, MATCH(orders!$D562,products!$A$1:$A$49,0), MATCH(J$1,products!$A$1:$G$1,0))</f>
        <v>M</v>
      </c>
      <c r="K562" s="4">
        <f>INDEX(products!$A$1:$G$49, MATCH(orders!$D562,products!$A$1:$A$49,0), MATCH(K$1,products!$A$1:$G$1,0))</f>
        <v>2.5</v>
      </c>
      <c r="L562" s="5">
        <f>INDEX(products!$A$1:$G$49, MATCH(orders!$D562,products!$A$1:$A$49,0), MATCH(L$1,products!$A$1:$G$1,0))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 = 0, "", _xlfn.XLOOKUP(C563,customers!$A$1:$A$1001,customers!$C$1:$C$1001,,0))</f>
        <v/>
      </c>
      <c r="H563" s="2" t="str">
        <f>_xlfn.XLOOKUP(C563,customers!$A$1:$A$1001,customers!$G$1:$G$1001,,0)</f>
        <v>Ireland</v>
      </c>
      <c r="I563" t="str">
        <f>INDEX(products!$A$1:$G$49, MATCH(orders!$D563,products!$A$1:$A$49,0), MATCH(I$1,products!$A$1:$G$1,0))</f>
        <v>Ara</v>
      </c>
      <c r="J563" t="str">
        <f>INDEX(products!$A$1:$G$49, MATCH(orders!$D563,products!$A$1:$A$49,0), MATCH(J$1,products!$A$1:$G$1,0))</f>
        <v>D</v>
      </c>
      <c r="K563" s="4">
        <f>INDEX(products!$A$1:$G$49, MATCH(orders!$D563,products!$A$1:$A$49,0), MATCH(K$1,products!$A$1:$G$1,0))</f>
        <v>0.2</v>
      </c>
      <c r="L563" s="5">
        <f>INDEX(products!$A$1:$G$49, MATCH(orders!$D563,products!$A$1:$A$49,0), MATCH(L$1,products!$A$1:$G$1,0))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 = 0, "", _xlfn.XLOOKUP(C564,customers!$A$1:$A$1001,customers!$C$1:$C$1001,,0))</f>
        <v>bgrecefm@naver.com</v>
      </c>
      <c r="H564" s="2" t="str">
        <f>_xlfn.XLOOKUP(C564,customers!$A$1:$A$1001,customers!$G$1:$G$1001,,0)</f>
        <v>United Kingdom</v>
      </c>
      <c r="I564" t="str">
        <f>INDEX(products!$A$1:$G$49, MATCH(orders!$D564,products!$A$1:$A$49,0), MATCH(I$1,products!$A$1:$G$1,0))</f>
        <v>Lib</v>
      </c>
      <c r="J564" t="str">
        <f>INDEX(products!$A$1:$G$49, MATCH(orders!$D564,products!$A$1:$A$49,0), MATCH(J$1,products!$A$1:$G$1,0))</f>
        <v>L</v>
      </c>
      <c r="K564" s="4">
        <f>INDEX(products!$A$1:$G$49, MATCH(orders!$D564,products!$A$1:$A$49,0), MATCH(K$1,products!$A$1:$G$1,0))</f>
        <v>0.2</v>
      </c>
      <c r="L564" s="5">
        <f>INDEX(products!$A$1:$G$49, MATCH(orders!$D564,products!$A$1:$A$49,0), MATCH(L$1,products!$A$1:$G$1,0))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 = 0, "", _xlfn.XLOOKUP(C565,customers!$A$1:$A$1001,customers!$C$1:$C$1001,,0))</f>
        <v>dflintiffg1@e-recht24.de</v>
      </c>
      <c r="H565" s="2" t="str">
        <f>_xlfn.XLOOKUP(C565,customers!$A$1:$A$1001,customers!$G$1:$G$1001,,0)</f>
        <v>United Kingdom</v>
      </c>
      <c r="I565" t="str">
        <f>INDEX(products!$A$1:$G$49, MATCH(orders!$D565,products!$A$1:$A$49,0), MATCH(I$1,products!$A$1:$G$1,0))</f>
        <v>Exc</v>
      </c>
      <c r="J565" t="str">
        <f>INDEX(products!$A$1:$G$49, MATCH(orders!$D565,products!$A$1:$A$49,0), MATCH(J$1,products!$A$1:$G$1,0))</f>
        <v>M</v>
      </c>
      <c r="K565" s="4">
        <f>INDEX(products!$A$1:$G$49, MATCH(orders!$D565,products!$A$1:$A$49,0), MATCH(K$1,products!$A$1:$G$1,0))</f>
        <v>1</v>
      </c>
      <c r="L565" s="5">
        <f>INDEX(products!$A$1:$G$49, MATCH(orders!$D565,products!$A$1:$A$49,0), MATCH(L$1,products!$A$1:$G$1,0))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 = 0, "", _xlfn.XLOOKUP(C566,customers!$A$1:$A$1001,customers!$C$1:$C$1001,,0))</f>
        <v>athysfo@cdc.gov</v>
      </c>
      <c r="H566" s="2" t="str">
        <f>_xlfn.XLOOKUP(C566,customers!$A$1:$A$1001,customers!$G$1:$G$1001,,0)</f>
        <v>United States</v>
      </c>
      <c r="I566" t="str">
        <f>INDEX(products!$A$1:$G$49, MATCH(orders!$D566,products!$A$1:$A$49,0), MATCH(I$1,products!$A$1:$G$1,0))</f>
        <v>Rob</v>
      </c>
      <c r="J566" t="str">
        <f>INDEX(products!$A$1:$G$49, MATCH(orders!$D566,products!$A$1:$A$49,0), MATCH(J$1,products!$A$1:$G$1,0))</f>
        <v>L</v>
      </c>
      <c r="K566" s="4">
        <f>INDEX(products!$A$1:$G$49, MATCH(orders!$D566,products!$A$1:$A$49,0), MATCH(K$1,products!$A$1:$G$1,0))</f>
        <v>0.5</v>
      </c>
      <c r="L566" s="5">
        <f>INDEX(products!$A$1:$G$49, MATCH(orders!$D566,products!$A$1:$A$49,0), MATCH(L$1,products!$A$1:$G$1,0))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 = 0, "", _xlfn.XLOOKUP(C567,customers!$A$1:$A$1001,customers!$C$1:$C$1001,,0))</f>
        <v>jchuggfp@about.me</v>
      </c>
      <c r="H567" s="2" t="str">
        <f>_xlfn.XLOOKUP(C567,customers!$A$1:$A$1001,customers!$G$1:$G$1001,,0)</f>
        <v>United States</v>
      </c>
      <c r="I567" t="str">
        <f>INDEX(products!$A$1:$G$49, MATCH(orders!$D567,products!$A$1:$A$49,0), MATCH(I$1,products!$A$1:$G$1,0))</f>
        <v>Rob</v>
      </c>
      <c r="J567" t="str">
        <f>INDEX(products!$A$1:$G$49, MATCH(orders!$D567,products!$A$1:$A$49,0), MATCH(J$1,products!$A$1:$G$1,0))</f>
        <v>D</v>
      </c>
      <c r="K567" s="4">
        <f>INDEX(products!$A$1:$G$49, MATCH(orders!$D567,products!$A$1:$A$49,0), MATCH(K$1,products!$A$1:$G$1,0))</f>
        <v>2.5</v>
      </c>
      <c r="L567" s="5">
        <f>INDEX(products!$A$1:$G$49, MATCH(orders!$D567,products!$A$1:$A$49,0), MATCH(L$1,products!$A$1:$G$1,0))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 = 0, "", _xlfn.XLOOKUP(C568,customers!$A$1:$A$1001,customers!$C$1:$C$1001,,0))</f>
        <v>akelstonfq@sakura.ne.jp</v>
      </c>
      <c r="H568" s="2" t="str">
        <f>_xlfn.XLOOKUP(C568,customers!$A$1:$A$1001,customers!$G$1:$G$1001,,0)</f>
        <v>United States</v>
      </c>
      <c r="I568" t="str">
        <f>INDEX(products!$A$1:$G$49, MATCH(orders!$D568,products!$A$1:$A$49,0), MATCH(I$1,products!$A$1:$G$1,0))</f>
        <v>Ara</v>
      </c>
      <c r="J568" t="str">
        <f>INDEX(products!$A$1:$G$49, MATCH(orders!$D568,products!$A$1:$A$49,0), MATCH(J$1,products!$A$1:$G$1,0))</f>
        <v>M</v>
      </c>
      <c r="K568" s="4">
        <f>INDEX(products!$A$1:$G$49, MATCH(orders!$D568,products!$A$1:$A$49,0), MATCH(K$1,products!$A$1:$G$1,0))</f>
        <v>0.2</v>
      </c>
      <c r="L568" s="5">
        <f>INDEX(products!$A$1:$G$49, MATCH(orders!$D568,products!$A$1:$A$49,0), MATCH(L$1,products!$A$1:$G$1,0))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 = 0, "", _xlfn.XLOOKUP(C569,customers!$A$1:$A$1001,customers!$C$1:$C$1001,,0))</f>
        <v/>
      </c>
      <c r="H569" s="2" t="str">
        <f>_xlfn.XLOOKUP(C569,customers!$A$1:$A$1001,customers!$G$1:$G$1001,,0)</f>
        <v>Ireland</v>
      </c>
      <c r="I569" t="str">
        <f>INDEX(products!$A$1:$G$49, MATCH(orders!$D569,products!$A$1:$A$49,0), MATCH(I$1,products!$A$1:$G$1,0))</f>
        <v>Rob</v>
      </c>
      <c r="J569" t="str">
        <f>INDEX(products!$A$1:$G$49, MATCH(orders!$D569,products!$A$1:$A$49,0), MATCH(J$1,products!$A$1:$G$1,0))</f>
        <v>L</v>
      </c>
      <c r="K569" s="4">
        <f>INDEX(products!$A$1:$G$49, MATCH(orders!$D569,products!$A$1:$A$49,0), MATCH(K$1,products!$A$1:$G$1,0))</f>
        <v>2.5</v>
      </c>
      <c r="L569" s="5">
        <f>INDEX(products!$A$1:$G$49, MATCH(orders!$D569,products!$A$1:$A$49,0), MATCH(L$1,products!$A$1:$G$1,0))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 = 0, "", _xlfn.XLOOKUP(C570,customers!$A$1:$A$1001,customers!$C$1:$C$1001,,0))</f>
        <v>cmottramfs@harvard.edu</v>
      </c>
      <c r="H570" s="2" t="str">
        <f>_xlfn.XLOOKUP(C570,customers!$A$1:$A$1001,customers!$G$1:$G$1001,,0)</f>
        <v>United States</v>
      </c>
      <c r="I570" t="str">
        <f>INDEX(products!$A$1:$G$49, MATCH(orders!$D570,products!$A$1:$A$49,0), MATCH(I$1,products!$A$1:$G$1,0))</f>
        <v>Lib</v>
      </c>
      <c r="J570" t="str">
        <f>INDEX(products!$A$1:$G$49, MATCH(orders!$D570,products!$A$1:$A$49,0), MATCH(J$1,products!$A$1:$G$1,0))</f>
        <v>L</v>
      </c>
      <c r="K570" s="4">
        <f>INDEX(products!$A$1:$G$49, MATCH(orders!$D570,products!$A$1:$A$49,0), MATCH(K$1,products!$A$1:$G$1,0))</f>
        <v>0.2</v>
      </c>
      <c r="L570" s="5">
        <f>INDEX(products!$A$1:$G$49, MATCH(orders!$D570,products!$A$1:$A$49,0), MATCH(L$1,products!$A$1:$G$1,0))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 = 0, "", _xlfn.XLOOKUP(C571,customers!$A$1:$A$1001,customers!$C$1:$C$1001,,0))</f>
        <v>dflintiffg1@e-recht24.de</v>
      </c>
      <c r="H571" s="2" t="str">
        <f>_xlfn.XLOOKUP(C571,customers!$A$1:$A$1001,customers!$G$1:$G$1001,,0)</f>
        <v>United Kingdom</v>
      </c>
      <c r="I571" t="str">
        <f>INDEX(products!$A$1:$G$49, MATCH(orders!$D571,products!$A$1:$A$49,0), MATCH(I$1,products!$A$1:$G$1,0))</f>
        <v>Ara</v>
      </c>
      <c r="J571" t="str">
        <f>INDEX(products!$A$1:$G$49, MATCH(orders!$D571,products!$A$1:$A$49,0), MATCH(J$1,products!$A$1:$G$1,0))</f>
        <v>D</v>
      </c>
      <c r="K571" s="4">
        <f>INDEX(products!$A$1:$G$49, MATCH(orders!$D571,products!$A$1:$A$49,0), MATCH(K$1,products!$A$1:$G$1,0))</f>
        <v>2.5</v>
      </c>
      <c r="L571" s="5">
        <f>INDEX(products!$A$1:$G$49, MATCH(orders!$D571,products!$A$1:$A$49,0), MATCH(L$1,products!$A$1:$G$1,0))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 = 0, "", _xlfn.XLOOKUP(C572,customers!$A$1:$A$1001,customers!$C$1:$C$1001,,0))</f>
        <v>dsangwinfu@weebly.com</v>
      </c>
      <c r="H572" s="2" t="str">
        <f>_xlfn.XLOOKUP(C572,customers!$A$1:$A$1001,customers!$G$1:$G$1001,,0)</f>
        <v>United States</v>
      </c>
      <c r="I572" t="str">
        <f>INDEX(products!$A$1:$G$49, MATCH(orders!$D572,products!$A$1:$A$49,0), MATCH(I$1,products!$A$1:$G$1,0))</f>
        <v>Ara</v>
      </c>
      <c r="J572" t="str">
        <f>INDEX(products!$A$1:$G$49, MATCH(orders!$D572,products!$A$1:$A$49,0), MATCH(J$1,products!$A$1:$G$1,0))</f>
        <v>M</v>
      </c>
      <c r="K572" s="4">
        <f>INDEX(products!$A$1:$G$49, MATCH(orders!$D572,products!$A$1:$A$49,0), MATCH(K$1,products!$A$1:$G$1,0))</f>
        <v>0.5</v>
      </c>
      <c r="L572" s="5">
        <f>INDEX(products!$A$1:$G$49, MATCH(orders!$D572,products!$A$1:$A$49,0), MATCH(L$1,products!$A$1:$G$1,0))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 = 0, "", _xlfn.XLOOKUP(C573,customers!$A$1:$A$1001,customers!$C$1:$C$1001,,0))</f>
        <v>eaizikowitzfv@virginia.edu</v>
      </c>
      <c r="H573" s="2" t="str">
        <f>_xlfn.XLOOKUP(C573,customers!$A$1:$A$1001,customers!$G$1:$G$1001,,0)</f>
        <v>United Kingdom</v>
      </c>
      <c r="I573" t="str">
        <f>INDEX(products!$A$1:$G$49, MATCH(orders!$D573,products!$A$1:$A$49,0), MATCH(I$1,products!$A$1:$G$1,0))</f>
        <v>Exc</v>
      </c>
      <c r="J573" t="str">
        <f>INDEX(products!$A$1:$G$49, MATCH(orders!$D573,products!$A$1:$A$49,0), MATCH(J$1,products!$A$1:$G$1,0))</f>
        <v>L</v>
      </c>
      <c r="K573" s="4">
        <f>INDEX(products!$A$1:$G$49, MATCH(orders!$D573,products!$A$1:$A$49,0), MATCH(K$1,products!$A$1:$G$1,0))</f>
        <v>0.5</v>
      </c>
      <c r="L573" s="5">
        <f>INDEX(products!$A$1:$G$49, MATCH(orders!$D573,products!$A$1:$A$49,0), MATCH(L$1,products!$A$1:$G$1,0))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 = 0, "", _xlfn.XLOOKUP(C574,customers!$A$1:$A$1001,customers!$C$1:$C$1001,,0))</f>
        <v/>
      </c>
      <c r="H574" s="2" t="str">
        <f>_xlfn.XLOOKUP(C574,customers!$A$1:$A$1001,customers!$G$1:$G$1001,,0)</f>
        <v>United States</v>
      </c>
      <c r="I574" t="str">
        <f>INDEX(products!$A$1:$G$49, MATCH(orders!$D574,products!$A$1:$A$49,0), MATCH(I$1,products!$A$1:$G$1,0))</f>
        <v>Ara</v>
      </c>
      <c r="J574" t="str">
        <f>INDEX(products!$A$1:$G$49, MATCH(orders!$D574,products!$A$1:$A$49,0), MATCH(J$1,products!$A$1:$G$1,0))</f>
        <v>D</v>
      </c>
      <c r="K574" s="4">
        <f>INDEX(products!$A$1:$G$49, MATCH(orders!$D574,products!$A$1:$A$49,0), MATCH(K$1,products!$A$1:$G$1,0))</f>
        <v>0.2</v>
      </c>
      <c r="L574" s="5">
        <f>INDEX(products!$A$1:$G$49, MATCH(orders!$D574,products!$A$1:$A$49,0), MATCH(L$1,products!$A$1:$G$1,0))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 = 0, "", _xlfn.XLOOKUP(C575,customers!$A$1:$A$1001,customers!$C$1:$C$1001,,0))</f>
        <v>cvenourfx@ask.com</v>
      </c>
      <c r="H575" s="2" t="str">
        <f>_xlfn.XLOOKUP(C575,customers!$A$1:$A$1001,customers!$G$1:$G$1001,,0)</f>
        <v>United States</v>
      </c>
      <c r="I575" t="str">
        <f>INDEX(products!$A$1:$G$49, MATCH(orders!$D575,products!$A$1:$A$49,0), MATCH(I$1,products!$A$1:$G$1,0))</f>
        <v>Ara</v>
      </c>
      <c r="J575" t="str">
        <f>INDEX(products!$A$1:$G$49, MATCH(orders!$D575,products!$A$1:$A$49,0), MATCH(J$1,products!$A$1:$G$1,0))</f>
        <v>M</v>
      </c>
      <c r="K575" s="4">
        <f>INDEX(products!$A$1:$G$49, MATCH(orders!$D575,products!$A$1:$A$49,0), MATCH(K$1,products!$A$1:$G$1,0))</f>
        <v>1</v>
      </c>
      <c r="L575" s="5">
        <f>INDEX(products!$A$1:$G$49, MATCH(orders!$D575,products!$A$1:$A$49,0), MATCH(L$1,products!$A$1:$G$1,0))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 = 0, "", _xlfn.XLOOKUP(C576,customers!$A$1:$A$1001,customers!$C$1:$C$1001,,0))</f>
        <v>mharbyfy@163.com</v>
      </c>
      <c r="H576" s="2" t="str">
        <f>_xlfn.XLOOKUP(C576,customers!$A$1:$A$1001,customers!$G$1:$G$1001,,0)</f>
        <v>United States</v>
      </c>
      <c r="I576" t="str">
        <f>INDEX(products!$A$1:$G$49, MATCH(orders!$D576,products!$A$1:$A$49,0), MATCH(I$1,products!$A$1:$G$1,0))</f>
        <v>Rob</v>
      </c>
      <c r="J576" t="str">
        <f>INDEX(products!$A$1:$G$49, MATCH(orders!$D576,products!$A$1:$A$49,0), MATCH(J$1,products!$A$1:$G$1,0))</f>
        <v>L</v>
      </c>
      <c r="K576" s="4">
        <f>INDEX(products!$A$1:$G$49, MATCH(orders!$D576,products!$A$1:$A$49,0), MATCH(K$1,products!$A$1:$G$1,0))</f>
        <v>0.2</v>
      </c>
      <c r="L576" s="5">
        <f>INDEX(products!$A$1:$G$49, MATCH(orders!$D576,products!$A$1:$A$49,0), MATCH(L$1,products!$A$1:$G$1,0))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 = 0, "", _xlfn.XLOOKUP(C577,customers!$A$1:$A$1001,customers!$C$1:$C$1001,,0))</f>
        <v>rthickpennyfz@cafepress.com</v>
      </c>
      <c r="H577" s="2" t="str">
        <f>_xlfn.XLOOKUP(C577,customers!$A$1:$A$1001,customers!$G$1:$G$1001,,0)</f>
        <v>United States</v>
      </c>
      <c r="I577" t="str">
        <f>INDEX(products!$A$1:$G$49, MATCH(orders!$D577,products!$A$1:$A$49,0), MATCH(I$1,products!$A$1:$G$1,0))</f>
        <v>Lib</v>
      </c>
      <c r="J577" t="str">
        <f>INDEX(products!$A$1:$G$49, MATCH(orders!$D577,products!$A$1:$A$49,0), MATCH(J$1,products!$A$1:$G$1,0))</f>
        <v>M</v>
      </c>
      <c r="K577" s="4">
        <f>INDEX(products!$A$1:$G$49, MATCH(orders!$D577,products!$A$1:$A$49,0), MATCH(K$1,products!$A$1:$G$1,0))</f>
        <v>2.5</v>
      </c>
      <c r="L577" s="5">
        <f>INDEX(products!$A$1:$G$49, MATCH(orders!$D577,products!$A$1:$A$49,0), MATCH(L$1,products!$A$1:$G$1,0))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 = 0, "", _xlfn.XLOOKUP(C578,customers!$A$1:$A$1001,customers!$C$1:$C$1001,,0))</f>
        <v>pormerodg0@redcross.org</v>
      </c>
      <c r="H578" s="2" t="str">
        <f>_xlfn.XLOOKUP(C578,customers!$A$1:$A$1001,customers!$G$1:$G$1001,,0)</f>
        <v>United States</v>
      </c>
      <c r="I578" t="str">
        <f>INDEX(products!$A$1:$G$49, MATCH(orders!$D578,products!$A$1:$A$49,0), MATCH(I$1,products!$A$1:$G$1,0))</f>
        <v>Ara</v>
      </c>
      <c r="J578" t="str">
        <f>INDEX(products!$A$1:$G$49, MATCH(orders!$D578,products!$A$1:$A$49,0), MATCH(J$1,products!$A$1:$G$1,0))</f>
        <v>D</v>
      </c>
      <c r="K578" s="4">
        <f>INDEX(products!$A$1:$G$49, MATCH(orders!$D578,products!$A$1:$A$49,0), MATCH(K$1,products!$A$1:$G$1,0))</f>
        <v>0.2</v>
      </c>
      <c r="L578" s="5">
        <f>INDEX(products!$A$1:$G$49, MATCH(orders!$D578,products!$A$1:$A$49,0), MATCH(L$1,products!$A$1:$G$1,0))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 = 0, "", _xlfn.XLOOKUP(C579,customers!$A$1:$A$1001,customers!$C$1:$C$1001,,0))</f>
        <v>dflintiffg1@e-recht24.de</v>
      </c>
      <c r="H579" s="2" t="str">
        <f>_xlfn.XLOOKUP(C579,customers!$A$1:$A$1001,customers!$G$1:$G$1001,,0)</f>
        <v>United Kingdom</v>
      </c>
      <c r="I579" t="str">
        <f>INDEX(products!$A$1:$G$49, MATCH(orders!$D579,products!$A$1:$A$49,0), MATCH(I$1,products!$A$1:$G$1,0))</f>
        <v>Lib</v>
      </c>
      <c r="J579" t="str">
        <f>INDEX(products!$A$1:$G$49, MATCH(orders!$D579,products!$A$1:$A$49,0), MATCH(J$1,products!$A$1:$G$1,0))</f>
        <v>M</v>
      </c>
      <c r="K579" s="4">
        <f>INDEX(products!$A$1:$G$49, MATCH(orders!$D579,products!$A$1:$A$49,0), MATCH(K$1,products!$A$1:$G$1,0))</f>
        <v>1</v>
      </c>
      <c r="L579" s="5">
        <f>INDEX(products!$A$1:$G$49, MATCH(orders!$D579,products!$A$1:$A$49,0), MATCH(L$1,products!$A$1:$G$1,0))</f>
        <v>14.55</v>
      </c>
      <c r="M579" s="5">
        <f t="shared" ref="M579:M642" si="27">L579*E579</f>
        <v>58.2</v>
      </c>
      <c r="N579" t="str">
        <f t="shared" ref="N579:N642" si="28">IF(I579="Rob", "Robusta", IF(I579 = "Exc", "Excelsa", IF(I579 = "Ara", "Arabica", IF(I579 = "Lib", "Liberica", ""))))</f>
        <v>Liberica</v>
      </c>
      <c r="O579" t="str">
        <f t="shared" ref="O579:O642" si="29">IF(J579 = "M", "Medium", IF(J579 = "L", "Light", IF( J579 = "D", "Dark", "")))</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 = 0, "", _xlfn.XLOOKUP(C580,customers!$A$1:$A$1001,customers!$C$1:$C$1001,,0))</f>
        <v>tzanettig2@gravatar.com</v>
      </c>
      <c r="H580" s="2" t="str">
        <f>_xlfn.XLOOKUP(C580,customers!$A$1:$A$1001,customers!$G$1:$G$1001,,0)</f>
        <v>Ireland</v>
      </c>
      <c r="I580" t="str">
        <f>INDEX(products!$A$1:$G$49, MATCH(orders!$D580,products!$A$1:$A$49,0), MATCH(I$1,products!$A$1:$G$1,0))</f>
        <v>Exc</v>
      </c>
      <c r="J580" t="str">
        <f>INDEX(products!$A$1:$G$49, MATCH(orders!$D580,products!$A$1:$A$49,0), MATCH(J$1,products!$A$1:$G$1,0))</f>
        <v>L</v>
      </c>
      <c r="K580" s="4">
        <f>INDEX(products!$A$1:$G$49, MATCH(orders!$D580,products!$A$1:$A$49,0), MATCH(K$1,products!$A$1:$G$1,0))</f>
        <v>0.2</v>
      </c>
      <c r="L580" s="5">
        <f>INDEX(products!$A$1:$G$49, MATCH(orders!$D580,products!$A$1:$A$49,0), MATCH(L$1,products!$A$1:$G$1,0))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 = 0, "", _xlfn.XLOOKUP(C581,customers!$A$1:$A$1001,customers!$C$1:$C$1001,,0))</f>
        <v>tzanettig2@gravatar.com</v>
      </c>
      <c r="H581" s="2" t="str">
        <f>_xlfn.XLOOKUP(C581,customers!$A$1:$A$1001,customers!$G$1:$G$1001,,0)</f>
        <v>Ireland</v>
      </c>
      <c r="I581" t="str">
        <f>INDEX(products!$A$1:$G$49, MATCH(orders!$D581,products!$A$1:$A$49,0), MATCH(I$1,products!$A$1:$G$1,0))</f>
        <v>Ara</v>
      </c>
      <c r="J581" t="str">
        <f>INDEX(products!$A$1:$G$49, MATCH(orders!$D581,products!$A$1:$A$49,0), MATCH(J$1,products!$A$1:$G$1,0))</f>
        <v>M</v>
      </c>
      <c r="K581" s="4">
        <f>INDEX(products!$A$1:$G$49, MATCH(orders!$D581,products!$A$1:$A$49,0), MATCH(K$1,products!$A$1:$G$1,0))</f>
        <v>0.5</v>
      </c>
      <c r="L581" s="5">
        <f>INDEX(products!$A$1:$G$49, MATCH(orders!$D581,products!$A$1:$A$49,0), MATCH(L$1,products!$A$1:$G$1,0))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 = 0, "", _xlfn.XLOOKUP(C582,customers!$A$1:$A$1001,customers!$C$1:$C$1001,,0))</f>
        <v>rkirtleyg4@hatena.ne.jp</v>
      </c>
      <c r="H582" s="2" t="str">
        <f>_xlfn.XLOOKUP(C582,customers!$A$1:$A$1001,customers!$G$1:$G$1001,,0)</f>
        <v>United States</v>
      </c>
      <c r="I582" t="str">
        <f>INDEX(products!$A$1:$G$49, MATCH(orders!$D582,products!$A$1:$A$49,0), MATCH(I$1,products!$A$1:$G$1,0))</f>
        <v>Exc</v>
      </c>
      <c r="J582" t="str">
        <f>INDEX(products!$A$1:$G$49, MATCH(orders!$D582,products!$A$1:$A$49,0), MATCH(J$1,products!$A$1:$G$1,0))</f>
        <v>L</v>
      </c>
      <c r="K582" s="4">
        <f>INDEX(products!$A$1:$G$49, MATCH(orders!$D582,products!$A$1:$A$49,0), MATCH(K$1,products!$A$1:$G$1,0))</f>
        <v>1</v>
      </c>
      <c r="L582" s="5">
        <f>INDEX(products!$A$1:$G$49, MATCH(orders!$D582,products!$A$1:$A$49,0), MATCH(L$1,products!$A$1:$G$1,0))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 = 0, "", _xlfn.XLOOKUP(C583,customers!$A$1:$A$1001,customers!$C$1:$C$1001,,0))</f>
        <v>cclemencetg5@weather.com</v>
      </c>
      <c r="H583" s="2" t="str">
        <f>_xlfn.XLOOKUP(C583,customers!$A$1:$A$1001,customers!$G$1:$G$1001,,0)</f>
        <v>United Kingdom</v>
      </c>
      <c r="I583" t="str">
        <f>INDEX(products!$A$1:$G$49, MATCH(orders!$D583,products!$A$1:$A$49,0), MATCH(I$1,products!$A$1:$G$1,0))</f>
        <v>Exc</v>
      </c>
      <c r="J583" t="str">
        <f>INDEX(products!$A$1:$G$49, MATCH(orders!$D583,products!$A$1:$A$49,0), MATCH(J$1,products!$A$1:$G$1,0))</f>
        <v>L</v>
      </c>
      <c r="K583" s="4">
        <f>INDEX(products!$A$1:$G$49, MATCH(orders!$D583,products!$A$1:$A$49,0), MATCH(K$1,products!$A$1:$G$1,0))</f>
        <v>0.5</v>
      </c>
      <c r="L583" s="5">
        <f>INDEX(products!$A$1:$G$49, MATCH(orders!$D583,products!$A$1:$A$49,0), MATCH(L$1,products!$A$1:$G$1,0))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 = 0, "", _xlfn.XLOOKUP(C584,customers!$A$1:$A$1001,customers!$C$1:$C$1001,,0))</f>
        <v>rdonetg6@oakley.com</v>
      </c>
      <c r="H584" s="2" t="str">
        <f>_xlfn.XLOOKUP(C584,customers!$A$1:$A$1001,customers!$G$1:$G$1001,,0)</f>
        <v>United States</v>
      </c>
      <c r="I584" t="str">
        <f>INDEX(products!$A$1:$G$49, MATCH(orders!$D584,products!$A$1:$A$49,0), MATCH(I$1,products!$A$1:$G$1,0))</f>
        <v>Exc</v>
      </c>
      <c r="J584" t="str">
        <f>INDEX(products!$A$1:$G$49, MATCH(orders!$D584,products!$A$1:$A$49,0), MATCH(J$1,products!$A$1:$G$1,0))</f>
        <v>D</v>
      </c>
      <c r="K584" s="4">
        <f>INDEX(products!$A$1:$G$49, MATCH(orders!$D584,products!$A$1:$A$49,0), MATCH(K$1,products!$A$1:$G$1,0))</f>
        <v>1</v>
      </c>
      <c r="L584" s="5">
        <f>INDEX(products!$A$1:$G$49, MATCH(orders!$D584,products!$A$1:$A$49,0), MATCH(L$1,products!$A$1:$G$1,0))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 = 0, "", _xlfn.XLOOKUP(C585,customers!$A$1:$A$1001,customers!$C$1:$C$1001,,0))</f>
        <v>sgaweng7@creativecommons.org</v>
      </c>
      <c r="H585" s="2" t="str">
        <f>_xlfn.XLOOKUP(C585,customers!$A$1:$A$1001,customers!$G$1:$G$1001,,0)</f>
        <v>United States</v>
      </c>
      <c r="I585" t="str">
        <f>INDEX(products!$A$1:$G$49, MATCH(orders!$D585,products!$A$1:$A$49,0), MATCH(I$1,products!$A$1:$G$1,0))</f>
        <v>Rob</v>
      </c>
      <c r="J585" t="str">
        <f>INDEX(products!$A$1:$G$49, MATCH(orders!$D585,products!$A$1:$A$49,0), MATCH(J$1,products!$A$1:$G$1,0))</f>
        <v>L</v>
      </c>
      <c r="K585" s="4">
        <f>INDEX(products!$A$1:$G$49, MATCH(orders!$D585,products!$A$1:$A$49,0), MATCH(K$1,products!$A$1:$G$1,0))</f>
        <v>0.2</v>
      </c>
      <c r="L585" s="5">
        <f>INDEX(products!$A$1:$G$49, MATCH(orders!$D585,products!$A$1:$A$49,0), MATCH(L$1,products!$A$1:$G$1,0))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 = 0, "", _xlfn.XLOOKUP(C586,customers!$A$1:$A$1001,customers!$C$1:$C$1001,,0))</f>
        <v>rreadieg8@guardian.co.uk</v>
      </c>
      <c r="H586" s="2" t="str">
        <f>_xlfn.XLOOKUP(C586,customers!$A$1:$A$1001,customers!$G$1:$G$1001,,0)</f>
        <v>United States</v>
      </c>
      <c r="I586" t="str">
        <f>INDEX(products!$A$1:$G$49, MATCH(orders!$D586,products!$A$1:$A$49,0), MATCH(I$1,products!$A$1:$G$1,0))</f>
        <v>Rob</v>
      </c>
      <c r="J586" t="str">
        <f>INDEX(products!$A$1:$G$49, MATCH(orders!$D586,products!$A$1:$A$49,0), MATCH(J$1,products!$A$1:$G$1,0))</f>
        <v>L</v>
      </c>
      <c r="K586" s="4">
        <f>INDEX(products!$A$1:$G$49, MATCH(orders!$D586,products!$A$1:$A$49,0), MATCH(K$1,products!$A$1:$G$1,0))</f>
        <v>0.2</v>
      </c>
      <c r="L586" s="5">
        <f>INDEX(products!$A$1:$G$49, MATCH(orders!$D586,products!$A$1:$A$49,0), MATCH(L$1,products!$A$1:$G$1,0))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 = 0, "", _xlfn.XLOOKUP(C587,customers!$A$1:$A$1001,customers!$C$1:$C$1001,,0))</f>
        <v>cverissimogh@theglobeandmail.com</v>
      </c>
      <c r="H587" s="2" t="str">
        <f>_xlfn.XLOOKUP(C587,customers!$A$1:$A$1001,customers!$G$1:$G$1001,,0)</f>
        <v>United Kingdom</v>
      </c>
      <c r="I587" t="str">
        <f>INDEX(products!$A$1:$G$49, MATCH(orders!$D587,products!$A$1:$A$49,0), MATCH(I$1,products!$A$1:$G$1,0))</f>
        <v>Exc</v>
      </c>
      <c r="J587" t="str">
        <f>INDEX(products!$A$1:$G$49, MATCH(orders!$D587,products!$A$1:$A$49,0), MATCH(J$1,products!$A$1:$G$1,0))</f>
        <v>M</v>
      </c>
      <c r="K587" s="4">
        <f>INDEX(products!$A$1:$G$49, MATCH(orders!$D587,products!$A$1:$A$49,0), MATCH(K$1,products!$A$1:$G$1,0))</f>
        <v>0.5</v>
      </c>
      <c r="L587" s="5">
        <f>INDEX(products!$A$1:$G$49, MATCH(orders!$D587,products!$A$1:$A$49,0), MATCH(L$1,products!$A$1:$G$1,0))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 = 0, "", _xlfn.XLOOKUP(C588,customers!$A$1:$A$1001,customers!$C$1:$C$1001,,0))</f>
        <v/>
      </c>
      <c r="H588" s="2" t="str">
        <f>_xlfn.XLOOKUP(C588,customers!$A$1:$A$1001,customers!$G$1:$G$1001,,0)</f>
        <v>United States</v>
      </c>
      <c r="I588" t="str">
        <f>INDEX(products!$A$1:$G$49, MATCH(orders!$D588,products!$A$1:$A$49,0), MATCH(I$1,products!$A$1:$G$1,0))</f>
        <v>Rob</v>
      </c>
      <c r="J588" t="str">
        <f>INDEX(products!$A$1:$G$49, MATCH(orders!$D588,products!$A$1:$A$49,0), MATCH(J$1,products!$A$1:$G$1,0))</f>
        <v>L</v>
      </c>
      <c r="K588" s="4">
        <f>INDEX(products!$A$1:$G$49, MATCH(orders!$D588,products!$A$1:$A$49,0), MATCH(K$1,products!$A$1:$G$1,0))</f>
        <v>2.5</v>
      </c>
      <c r="L588" s="5">
        <f>INDEX(products!$A$1:$G$49, MATCH(orders!$D588,products!$A$1:$A$49,0), MATCH(L$1,products!$A$1:$G$1,0))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 = 0, "", _xlfn.XLOOKUP(C589,customers!$A$1:$A$1001,customers!$C$1:$C$1001,,0))</f>
        <v>bogb@elpais.com</v>
      </c>
      <c r="H589" s="2" t="str">
        <f>_xlfn.XLOOKUP(C589,customers!$A$1:$A$1001,customers!$G$1:$G$1001,,0)</f>
        <v>United States</v>
      </c>
      <c r="I589" t="str">
        <f>INDEX(products!$A$1:$G$49, MATCH(orders!$D589,products!$A$1:$A$49,0), MATCH(I$1,products!$A$1:$G$1,0))</f>
        <v>Lib</v>
      </c>
      <c r="J589" t="str">
        <f>INDEX(products!$A$1:$G$49, MATCH(orders!$D589,products!$A$1:$A$49,0), MATCH(J$1,products!$A$1:$G$1,0))</f>
        <v>D</v>
      </c>
      <c r="K589" s="4">
        <f>INDEX(products!$A$1:$G$49, MATCH(orders!$D589,products!$A$1:$A$49,0), MATCH(K$1,products!$A$1:$G$1,0))</f>
        <v>0.5</v>
      </c>
      <c r="L589" s="5">
        <f>INDEX(products!$A$1:$G$49, MATCH(orders!$D589,products!$A$1:$A$49,0), MATCH(L$1,products!$A$1:$G$1,0))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 = 0, "", _xlfn.XLOOKUP(C590,customers!$A$1:$A$1001,customers!$C$1:$C$1001,,0))</f>
        <v>vstansburygc@unblog.fr</v>
      </c>
      <c r="H590" s="2" t="str">
        <f>_xlfn.XLOOKUP(C590,customers!$A$1:$A$1001,customers!$G$1:$G$1001,,0)</f>
        <v>United States</v>
      </c>
      <c r="I590" t="str">
        <f>INDEX(products!$A$1:$G$49, MATCH(orders!$D590,products!$A$1:$A$49,0), MATCH(I$1,products!$A$1:$G$1,0))</f>
        <v>Rob</v>
      </c>
      <c r="J590" t="str">
        <f>INDEX(products!$A$1:$G$49, MATCH(orders!$D590,products!$A$1:$A$49,0), MATCH(J$1,products!$A$1:$G$1,0))</f>
        <v>M</v>
      </c>
      <c r="K590" s="4">
        <f>INDEX(products!$A$1:$G$49, MATCH(orders!$D590,products!$A$1:$A$49,0), MATCH(K$1,products!$A$1:$G$1,0))</f>
        <v>0.5</v>
      </c>
      <c r="L590" s="5">
        <f>INDEX(products!$A$1:$G$49, MATCH(orders!$D590,products!$A$1:$A$49,0), MATCH(L$1,products!$A$1:$G$1,0))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 = 0, "", _xlfn.XLOOKUP(C591,customers!$A$1:$A$1001,customers!$C$1:$C$1001,,0))</f>
        <v>dheinonengd@printfriendly.com</v>
      </c>
      <c r="H591" s="2" t="str">
        <f>_xlfn.XLOOKUP(C591,customers!$A$1:$A$1001,customers!$G$1:$G$1001,,0)</f>
        <v>United States</v>
      </c>
      <c r="I591" t="str">
        <f>INDEX(products!$A$1:$G$49, MATCH(orders!$D591,products!$A$1:$A$49,0), MATCH(I$1,products!$A$1:$G$1,0))</f>
        <v>Exc</v>
      </c>
      <c r="J591" t="str">
        <f>INDEX(products!$A$1:$G$49, MATCH(orders!$D591,products!$A$1:$A$49,0), MATCH(J$1,products!$A$1:$G$1,0))</f>
        <v>L</v>
      </c>
      <c r="K591" s="4">
        <f>INDEX(products!$A$1:$G$49, MATCH(orders!$D591,products!$A$1:$A$49,0), MATCH(K$1,products!$A$1:$G$1,0))</f>
        <v>2.5</v>
      </c>
      <c r="L591" s="5">
        <f>INDEX(products!$A$1:$G$49, MATCH(orders!$D591,products!$A$1:$A$49,0), MATCH(L$1,products!$A$1:$G$1,0))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 = 0, "", _xlfn.XLOOKUP(C592,customers!$A$1:$A$1001,customers!$C$1:$C$1001,,0))</f>
        <v>jshentonge@google.com.hk</v>
      </c>
      <c r="H592" s="2" t="str">
        <f>_xlfn.XLOOKUP(C592,customers!$A$1:$A$1001,customers!$G$1:$G$1001,,0)</f>
        <v>United States</v>
      </c>
      <c r="I592" t="str">
        <f>INDEX(products!$A$1:$G$49, MATCH(orders!$D592,products!$A$1:$A$49,0), MATCH(I$1,products!$A$1:$G$1,0))</f>
        <v>Exc</v>
      </c>
      <c r="J592" t="str">
        <f>INDEX(products!$A$1:$G$49, MATCH(orders!$D592,products!$A$1:$A$49,0), MATCH(J$1,products!$A$1:$G$1,0))</f>
        <v>M</v>
      </c>
      <c r="K592" s="4">
        <f>INDEX(products!$A$1:$G$49, MATCH(orders!$D592,products!$A$1:$A$49,0), MATCH(K$1,products!$A$1:$G$1,0))</f>
        <v>2.5</v>
      </c>
      <c r="L592" s="5">
        <f>INDEX(products!$A$1:$G$49, MATCH(orders!$D592,products!$A$1:$A$49,0), MATCH(L$1,products!$A$1:$G$1,0))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 = 0, "", _xlfn.XLOOKUP(C593,customers!$A$1:$A$1001,customers!$C$1:$C$1001,,0))</f>
        <v>jwilkissongf@nba.com</v>
      </c>
      <c r="H593" s="2" t="str">
        <f>_xlfn.XLOOKUP(C593,customers!$A$1:$A$1001,customers!$G$1:$G$1001,,0)</f>
        <v>United States</v>
      </c>
      <c r="I593" t="str">
        <f>INDEX(products!$A$1:$G$49, MATCH(orders!$D593,products!$A$1:$A$49,0), MATCH(I$1,products!$A$1:$G$1,0))</f>
        <v>Rob</v>
      </c>
      <c r="J593" t="str">
        <f>INDEX(products!$A$1:$G$49, MATCH(orders!$D593,products!$A$1:$A$49,0), MATCH(J$1,products!$A$1:$G$1,0))</f>
        <v>D</v>
      </c>
      <c r="K593" s="4">
        <f>INDEX(products!$A$1:$G$49, MATCH(orders!$D593,products!$A$1:$A$49,0), MATCH(K$1,products!$A$1:$G$1,0))</f>
        <v>0.2</v>
      </c>
      <c r="L593" s="5">
        <f>INDEX(products!$A$1:$G$49, MATCH(orders!$D593,products!$A$1:$A$49,0), MATCH(L$1,products!$A$1:$G$1,0))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 = 0, "", _xlfn.XLOOKUP(C594,customers!$A$1:$A$1001,customers!$C$1:$C$1001,,0))</f>
        <v/>
      </c>
      <c r="H594" s="2" t="str">
        <f>_xlfn.XLOOKUP(C594,customers!$A$1:$A$1001,customers!$G$1:$G$1001,,0)</f>
        <v>United States</v>
      </c>
      <c r="I594" t="str">
        <f>INDEX(products!$A$1:$G$49, MATCH(orders!$D594,products!$A$1:$A$49,0), MATCH(I$1,products!$A$1:$G$1,0))</f>
        <v>Ara</v>
      </c>
      <c r="J594" t="str">
        <f>INDEX(products!$A$1:$G$49, MATCH(orders!$D594,products!$A$1:$A$49,0), MATCH(J$1,products!$A$1:$G$1,0))</f>
        <v>M</v>
      </c>
      <c r="K594" s="4">
        <f>INDEX(products!$A$1:$G$49, MATCH(orders!$D594,products!$A$1:$A$49,0), MATCH(K$1,products!$A$1:$G$1,0))</f>
        <v>2.5</v>
      </c>
      <c r="L594" s="5">
        <f>INDEX(products!$A$1:$G$49, MATCH(orders!$D594,products!$A$1:$A$49,0), MATCH(L$1,products!$A$1:$G$1,0))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 = 0, "", _xlfn.XLOOKUP(C595,customers!$A$1:$A$1001,customers!$C$1:$C$1001,,0))</f>
        <v>cverissimogh@theglobeandmail.com</v>
      </c>
      <c r="H595" s="2" t="str">
        <f>_xlfn.XLOOKUP(C595,customers!$A$1:$A$1001,customers!$G$1:$G$1001,,0)</f>
        <v>United Kingdom</v>
      </c>
      <c r="I595" t="str">
        <f>INDEX(products!$A$1:$G$49, MATCH(orders!$D595,products!$A$1:$A$49,0), MATCH(I$1,products!$A$1:$G$1,0))</f>
        <v>Exc</v>
      </c>
      <c r="J595" t="str">
        <f>INDEX(products!$A$1:$G$49, MATCH(orders!$D595,products!$A$1:$A$49,0), MATCH(J$1,products!$A$1:$G$1,0))</f>
        <v>D</v>
      </c>
      <c r="K595" s="4">
        <f>INDEX(products!$A$1:$G$49, MATCH(orders!$D595,products!$A$1:$A$49,0), MATCH(K$1,products!$A$1:$G$1,0))</f>
        <v>2.5</v>
      </c>
      <c r="L595" s="5">
        <f>INDEX(products!$A$1:$G$49, MATCH(orders!$D595,products!$A$1:$A$49,0), MATCH(L$1,products!$A$1:$G$1,0))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 = 0, "", _xlfn.XLOOKUP(C596,customers!$A$1:$A$1001,customers!$C$1:$C$1001,,0))</f>
        <v>gstarcksgi@abc.net.au</v>
      </c>
      <c r="H596" s="2" t="str">
        <f>_xlfn.XLOOKUP(C596,customers!$A$1:$A$1001,customers!$G$1:$G$1001,,0)</f>
        <v>United States</v>
      </c>
      <c r="I596" t="str">
        <f>INDEX(products!$A$1:$G$49, MATCH(orders!$D596,products!$A$1:$A$49,0), MATCH(I$1,products!$A$1:$G$1,0))</f>
        <v>Ara</v>
      </c>
      <c r="J596" t="str">
        <f>INDEX(products!$A$1:$G$49, MATCH(orders!$D596,products!$A$1:$A$49,0), MATCH(J$1,products!$A$1:$G$1,0))</f>
        <v>L</v>
      </c>
      <c r="K596" s="4">
        <f>INDEX(products!$A$1:$G$49, MATCH(orders!$D596,products!$A$1:$A$49,0), MATCH(K$1,products!$A$1:$G$1,0))</f>
        <v>2.5</v>
      </c>
      <c r="L596" s="5">
        <f>INDEX(products!$A$1:$G$49, MATCH(orders!$D596,products!$A$1:$A$49,0), MATCH(L$1,products!$A$1:$G$1,0))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 = 0, "", _xlfn.XLOOKUP(C597,customers!$A$1:$A$1001,customers!$C$1:$C$1001,,0))</f>
        <v/>
      </c>
      <c r="H597" s="2" t="str">
        <f>_xlfn.XLOOKUP(C597,customers!$A$1:$A$1001,customers!$G$1:$G$1001,,0)</f>
        <v>United Kingdom</v>
      </c>
      <c r="I597" t="str">
        <f>INDEX(products!$A$1:$G$49, MATCH(orders!$D597,products!$A$1:$A$49,0), MATCH(I$1,products!$A$1:$G$1,0))</f>
        <v>Exc</v>
      </c>
      <c r="J597" t="str">
        <f>INDEX(products!$A$1:$G$49, MATCH(orders!$D597,products!$A$1:$A$49,0), MATCH(J$1,products!$A$1:$G$1,0))</f>
        <v>L</v>
      </c>
      <c r="K597" s="4">
        <f>INDEX(products!$A$1:$G$49, MATCH(orders!$D597,products!$A$1:$A$49,0), MATCH(K$1,products!$A$1:$G$1,0))</f>
        <v>1</v>
      </c>
      <c r="L597" s="5">
        <f>INDEX(products!$A$1:$G$49, MATCH(orders!$D597,products!$A$1:$A$49,0), MATCH(L$1,products!$A$1:$G$1,0))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 = 0, "", _xlfn.XLOOKUP(C598,customers!$A$1:$A$1001,customers!$C$1:$C$1001,,0))</f>
        <v>kscholardgk@sbwire.com</v>
      </c>
      <c r="H598" s="2" t="str">
        <f>_xlfn.XLOOKUP(C598,customers!$A$1:$A$1001,customers!$G$1:$G$1001,,0)</f>
        <v>United States</v>
      </c>
      <c r="I598" t="str">
        <f>INDEX(products!$A$1:$G$49, MATCH(orders!$D598,products!$A$1:$A$49,0), MATCH(I$1,products!$A$1:$G$1,0))</f>
        <v>Ara</v>
      </c>
      <c r="J598" t="str">
        <f>INDEX(products!$A$1:$G$49, MATCH(orders!$D598,products!$A$1:$A$49,0), MATCH(J$1,products!$A$1:$G$1,0))</f>
        <v>M</v>
      </c>
      <c r="K598" s="4">
        <f>INDEX(products!$A$1:$G$49, MATCH(orders!$D598,products!$A$1:$A$49,0), MATCH(K$1,products!$A$1:$G$1,0))</f>
        <v>0.5</v>
      </c>
      <c r="L598" s="5">
        <f>INDEX(products!$A$1:$G$49, MATCH(orders!$D598,products!$A$1:$A$49,0), MATCH(L$1,products!$A$1:$G$1,0))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 = 0, "", _xlfn.XLOOKUP(C599,customers!$A$1:$A$1001,customers!$C$1:$C$1001,,0))</f>
        <v>bkindleygl@wikimedia.org</v>
      </c>
      <c r="H599" s="2" t="str">
        <f>_xlfn.XLOOKUP(C599,customers!$A$1:$A$1001,customers!$G$1:$G$1001,,0)</f>
        <v>United States</v>
      </c>
      <c r="I599" t="str">
        <f>INDEX(products!$A$1:$G$49, MATCH(orders!$D599,products!$A$1:$A$49,0), MATCH(I$1,products!$A$1:$G$1,0))</f>
        <v>Lib</v>
      </c>
      <c r="J599" t="str">
        <f>INDEX(products!$A$1:$G$49, MATCH(orders!$D599,products!$A$1:$A$49,0), MATCH(J$1,products!$A$1:$G$1,0))</f>
        <v>L</v>
      </c>
      <c r="K599" s="4">
        <f>INDEX(products!$A$1:$G$49, MATCH(orders!$D599,products!$A$1:$A$49,0), MATCH(K$1,products!$A$1:$G$1,0))</f>
        <v>2.5</v>
      </c>
      <c r="L599" s="5">
        <f>INDEX(products!$A$1:$G$49, MATCH(orders!$D599,products!$A$1:$A$49,0), MATCH(L$1,products!$A$1:$G$1,0))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 = 0, "", _xlfn.XLOOKUP(C600,customers!$A$1:$A$1001,customers!$C$1:$C$1001,,0))</f>
        <v>khammettgm@dmoz.org</v>
      </c>
      <c r="H600" s="2" t="str">
        <f>_xlfn.XLOOKUP(C600,customers!$A$1:$A$1001,customers!$G$1:$G$1001,,0)</f>
        <v>United States</v>
      </c>
      <c r="I600" t="str">
        <f>INDEX(products!$A$1:$G$49, MATCH(orders!$D600,products!$A$1:$A$49,0), MATCH(I$1,products!$A$1:$G$1,0))</f>
        <v>Rob</v>
      </c>
      <c r="J600" t="str">
        <f>INDEX(products!$A$1:$G$49, MATCH(orders!$D600,products!$A$1:$A$49,0), MATCH(J$1,products!$A$1:$G$1,0))</f>
        <v>M</v>
      </c>
      <c r="K600" s="4">
        <f>INDEX(products!$A$1:$G$49, MATCH(orders!$D600,products!$A$1:$A$49,0), MATCH(K$1,products!$A$1:$G$1,0))</f>
        <v>0.2</v>
      </c>
      <c r="L600" s="5">
        <f>INDEX(products!$A$1:$G$49, MATCH(orders!$D600,products!$A$1:$A$49,0), MATCH(L$1,products!$A$1:$G$1,0))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 = 0, "", _xlfn.XLOOKUP(C601,customers!$A$1:$A$1001,customers!$C$1:$C$1001,,0))</f>
        <v>ahulburtgn@fda.gov</v>
      </c>
      <c r="H601" s="2" t="str">
        <f>_xlfn.XLOOKUP(C601,customers!$A$1:$A$1001,customers!$G$1:$G$1001,,0)</f>
        <v>United States</v>
      </c>
      <c r="I601" t="str">
        <f>INDEX(products!$A$1:$G$49, MATCH(orders!$D601,products!$A$1:$A$49,0), MATCH(I$1,products!$A$1:$G$1,0))</f>
        <v>Ara</v>
      </c>
      <c r="J601" t="str">
        <f>INDEX(products!$A$1:$G$49, MATCH(orders!$D601,products!$A$1:$A$49,0), MATCH(J$1,products!$A$1:$G$1,0))</f>
        <v>D</v>
      </c>
      <c r="K601" s="4">
        <f>INDEX(products!$A$1:$G$49, MATCH(orders!$D601,products!$A$1:$A$49,0), MATCH(K$1,products!$A$1:$G$1,0))</f>
        <v>0.2</v>
      </c>
      <c r="L601" s="5">
        <f>INDEX(products!$A$1:$G$49, MATCH(orders!$D601,products!$A$1:$A$49,0), MATCH(L$1,products!$A$1:$G$1,0))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 = 0, "", _xlfn.XLOOKUP(C602,customers!$A$1:$A$1001,customers!$C$1:$C$1001,,0))</f>
        <v>plauritzengo@photobucket.com</v>
      </c>
      <c r="H602" s="2" t="str">
        <f>_xlfn.XLOOKUP(C602,customers!$A$1:$A$1001,customers!$G$1:$G$1001,,0)</f>
        <v>United States</v>
      </c>
      <c r="I602" t="str">
        <f>INDEX(products!$A$1:$G$49, MATCH(orders!$D602,products!$A$1:$A$49,0), MATCH(I$1,products!$A$1:$G$1,0))</f>
        <v>Lib</v>
      </c>
      <c r="J602" t="str">
        <f>INDEX(products!$A$1:$G$49, MATCH(orders!$D602,products!$A$1:$A$49,0), MATCH(J$1,products!$A$1:$G$1,0))</f>
        <v>D</v>
      </c>
      <c r="K602" s="4">
        <f>INDEX(products!$A$1:$G$49, MATCH(orders!$D602,products!$A$1:$A$49,0), MATCH(K$1,products!$A$1:$G$1,0))</f>
        <v>0.5</v>
      </c>
      <c r="L602" s="5">
        <f>INDEX(products!$A$1:$G$49, MATCH(orders!$D602,products!$A$1:$A$49,0), MATCH(L$1,products!$A$1:$G$1,0))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 = 0, "", _xlfn.XLOOKUP(C603,customers!$A$1:$A$1001,customers!$C$1:$C$1001,,0))</f>
        <v>aburgwingp@redcross.org</v>
      </c>
      <c r="H603" s="2" t="str">
        <f>_xlfn.XLOOKUP(C603,customers!$A$1:$A$1001,customers!$G$1:$G$1001,,0)</f>
        <v>United States</v>
      </c>
      <c r="I603" t="str">
        <f>INDEX(products!$A$1:$G$49, MATCH(orders!$D603,products!$A$1:$A$49,0), MATCH(I$1,products!$A$1:$G$1,0))</f>
        <v>Rob</v>
      </c>
      <c r="J603" t="str">
        <f>INDEX(products!$A$1:$G$49, MATCH(orders!$D603,products!$A$1:$A$49,0), MATCH(J$1,products!$A$1:$G$1,0))</f>
        <v>L</v>
      </c>
      <c r="K603" s="4">
        <f>INDEX(products!$A$1:$G$49, MATCH(orders!$D603,products!$A$1:$A$49,0), MATCH(K$1,products!$A$1:$G$1,0))</f>
        <v>2.5</v>
      </c>
      <c r="L603" s="5">
        <f>INDEX(products!$A$1:$G$49, MATCH(orders!$D603,products!$A$1:$A$49,0), MATCH(L$1,products!$A$1:$G$1,0))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 = 0, "", _xlfn.XLOOKUP(C604,customers!$A$1:$A$1001,customers!$C$1:$C$1001,,0))</f>
        <v>erolingq@google.fr</v>
      </c>
      <c r="H604" s="2" t="str">
        <f>_xlfn.XLOOKUP(C604,customers!$A$1:$A$1001,customers!$G$1:$G$1001,,0)</f>
        <v>United States</v>
      </c>
      <c r="I604" t="str">
        <f>INDEX(products!$A$1:$G$49, MATCH(orders!$D604,products!$A$1:$A$49,0), MATCH(I$1,products!$A$1:$G$1,0))</f>
        <v>Exc</v>
      </c>
      <c r="J604" t="str">
        <f>INDEX(products!$A$1:$G$49, MATCH(orders!$D604,products!$A$1:$A$49,0), MATCH(J$1,products!$A$1:$G$1,0))</f>
        <v>L</v>
      </c>
      <c r="K604" s="4">
        <f>INDEX(products!$A$1:$G$49, MATCH(orders!$D604,products!$A$1:$A$49,0), MATCH(K$1,products!$A$1:$G$1,0))</f>
        <v>0.2</v>
      </c>
      <c r="L604" s="5">
        <f>INDEX(products!$A$1:$G$49, MATCH(orders!$D604,products!$A$1:$A$49,0), MATCH(L$1,products!$A$1:$G$1,0))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 = 0, "", _xlfn.XLOOKUP(C605,customers!$A$1:$A$1001,customers!$C$1:$C$1001,,0))</f>
        <v>dfowlegr@epa.gov</v>
      </c>
      <c r="H605" s="2" t="str">
        <f>_xlfn.XLOOKUP(C605,customers!$A$1:$A$1001,customers!$G$1:$G$1001,,0)</f>
        <v>United States</v>
      </c>
      <c r="I605" t="str">
        <f>INDEX(products!$A$1:$G$49, MATCH(orders!$D605,products!$A$1:$A$49,0), MATCH(I$1,products!$A$1:$G$1,0))</f>
        <v>Rob</v>
      </c>
      <c r="J605" t="str">
        <f>INDEX(products!$A$1:$G$49, MATCH(orders!$D605,products!$A$1:$A$49,0), MATCH(J$1,products!$A$1:$G$1,0))</f>
        <v>M</v>
      </c>
      <c r="K605" s="4">
        <f>INDEX(products!$A$1:$G$49, MATCH(orders!$D605,products!$A$1:$A$49,0), MATCH(K$1,products!$A$1:$G$1,0))</f>
        <v>0.2</v>
      </c>
      <c r="L605" s="5">
        <f>INDEX(products!$A$1:$G$49, MATCH(orders!$D605,products!$A$1:$A$49,0), MATCH(L$1,products!$A$1:$G$1,0))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 = 0, "", _xlfn.XLOOKUP(C606,customers!$A$1:$A$1001,customers!$C$1:$C$1001,,0))</f>
        <v/>
      </c>
      <c r="H606" s="2" t="str">
        <f>_xlfn.XLOOKUP(C606,customers!$A$1:$A$1001,customers!$G$1:$G$1001,,0)</f>
        <v>Ireland</v>
      </c>
      <c r="I606" t="str">
        <f>INDEX(products!$A$1:$G$49, MATCH(orders!$D606,products!$A$1:$A$49,0), MATCH(I$1,products!$A$1:$G$1,0))</f>
        <v>Lib</v>
      </c>
      <c r="J606" t="str">
        <f>INDEX(products!$A$1:$G$49, MATCH(orders!$D606,products!$A$1:$A$49,0), MATCH(J$1,products!$A$1:$G$1,0))</f>
        <v>D</v>
      </c>
      <c r="K606" s="4">
        <f>INDEX(products!$A$1:$G$49, MATCH(orders!$D606,products!$A$1:$A$49,0), MATCH(K$1,products!$A$1:$G$1,0))</f>
        <v>2.5</v>
      </c>
      <c r="L606" s="5">
        <f>INDEX(products!$A$1:$G$49, MATCH(orders!$D606,products!$A$1:$A$49,0), MATCH(L$1,products!$A$1:$G$1,0))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 = 0, "", _xlfn.XLOOKUP(C607,customers!$A$1:$A$1001,customers!$C$1:$C$1001,,0))</f>
        <v>wpowleslandgt@soundcloud.com</v>
      </c>
      <c r="H607" s="2" t="str">
        <f>_xlfn.XLOOKUP(C607,customers!$A$1:$A$1001,customers!$G$1:$G$1001,,0)</f>
        <v>United States</v>
      </c>
      <c r="I607" t="str">
        <f>INDEX(products!$A$1:$G$49, MATCH(orders!$D607,products!$A$1:$A$49,0), MATCH(I$1,products!$A$1:$G$1,0))</f>
        <v>Ara</v>
      </c>
      <c r="J607" t="str">
        <f>INDEX(products!$A$1:$G$49, MATCH(orders!$D607,products!$A$1:$A$49,0), MATCH(J$1,products!$A$1:$G$1,0))</f>
        <v>L</v>
      </c>
      <c r="K607" s="4">
        <f>INDEX(products!$A$1:$G$49, MATCH(orders!$D607,products!$A$1:$A$49,0), MATCH(K$1,products!$A$1:$G$1,0))</f>
        <v>2.5</v>
      </c>
      <c r="L607" s="5">
        <f>INDEX(products!$A$1:$G$49, MATCH(orders!$D607,products!$A$1:$A$49,0), MATCH(L$1,products!$A$1:$G$1,0))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 = 0, "", _xlfn.XLOOKUP(C608,customers!$A$1:$A$1001,customers!$C$1:$C$1001,,0))</f>
        <v>cverissimogh@theglobeandmail.com</v>
      </c>
      <c r="H608" s="2" t="str">
        <f>_xlfn.XLOOKUP(C608,customers!$A$1:$A$1001,customers!$G$1:$G$1001,,0)</f>
        <v>United Kingdom</v>
      </c>
      <c r="I608" t="str">
        <f>INDEX(products!$A$1:$G$49, MATCH(orders!$D608,products!$A$1:$A$49,0), MATCH(I$1,products!$A$1:$G$1,0))</f>
        <v>Lib</v>
      </c>
      <c r="J608" t="str">
        <f>INDEX(products!$A$1:$G$49, MATCH(orders!$D608,products!$A$1:$A$49,0), MATCH(J$1,products!$A$1:$G$1,0))</f>
        <v>L</v>
      </c>
      <c r="K608" s="4">
        <f>INDEX(products!$A$1:$G$49, MATCH(orders!$D608,products!$A$1:$A$49,0), MATCH(K$1,products!$A$1:$G$1,0))</f>
        <v>2.5</v>
      </c>
      <c r="L608" s="5">
        <f>INDEX(products!$A$1:$G$49, MATCH(orders!$D608,products!$A$1:$A$49,0), MATCH(L$1,products!$A$1:$G$1,0))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 = 0, "", _xlfn.XLOOKUP(C609,customers!$A$1:$A$1001,customers!$C$1:$C$1001,,0))</f>
        <v>lellinghamgv@sciencedaily.com</v>
      </c>
      <c r="H609" s="2" t="str">
        <f>_xlfn.XLOOKUP(C609,customers!$A$1:$A$1001,customers!$G$1:$G$1001,,0)</f>
        <v>United States</v>
      </c>
      <c r="I609" t="str">
        <f>INDEX(products!$A$1:$G$49, MATCH(orders!$D609,products!$A$1:$A$49,0), MATCH(I$1,products!$A$1:$G$1,0))</f>
        <v>Exc</v>
      </c>
      <c r="J609" t="str">
        <f>INDEX(products!$A$1:$G$49, MATCH(orders!$D609,products!$A$1:$A$49,0), MATCH(J$1,products!$A$1:$G$1,0))</f>
        <v>D</v>
      </c>
      <c r="K609" s="4">
        <f>INDEX(products!$A$1:$G$49, MATCH(orders!$D609,products!$A$1:$A$49,0), MATCH(K$1,products!$A$1:$G$1,0))</f>
        <v>0.2</v>
      </c>
      <c r="L609" s="5">
        <f>INDEX(products!$A$1:$G$49, MATCH(orders!$D609,products!$A$1:$A$49,0), MATCH(L$1,products!$A$1:$G$1,0))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 = 0, "", _xlfn.XLOOKUP(C610,customers!$A$1:$A$1001,customers!$C$1:$C$1001,,0))</f>
        <v/>
      </c>
      <c r="H610" s="2" t="str">
        <f>_xlfn.XLOOKUP(C610,customers!$A$1:$A$1001,customers!$G$1:$G$1001,,0)</f>
        <v>United States</v>
      </c>
      <c r="I610" t="str">
        <f>INDEX(products!$A$1:$G$49, MATCH(orders!$D610,products!$A$1:$A$49,0), MATCH(I$1,products!$A$1:$G$1,0))</f>
        <v>Exc</v>
      </c>
      <c r="J610" t="str">
        <f>INDEX(products!$A$1:$G$49, MATCH(orders!$D610,products!$A$1:$A$49,0), MATCH(J$1,products!$A$1:$G$1,0))</f>
        <v>D</v>
      </c>
      <c r="K610" s="4">
        <f>INDEX(products!$A$1:$G$49, MATCH(orders!$D610,products!$A$1:$A$49,0), MATCH(K$1,products!$A$1:$G$1,0))</f>
        <v>2.5</v>
      </c>
      <c r="L610" s="5">
        <f>INDEX(products!$A$1:$G$49, MATCH(orders!$D610,products!$A$1:$A$49,0), MATCH(L$1,products!$A$1:$G$1,0))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 = 0, "", _xlfn.XLOOKUP(C611,customers!$A$1:$A$1001,customers!$C$1:$C$1001,,0))</f>
        <v>afendtgx@forbes.com</v>
      </c>
      <c r="H611" s="2" t="str">
        <f>_xlfn.XLOOKUP(C611,customers!$A$1:$A$1001,customers!$G$1:$G$1001,,0)</f>
        <v>United States</v>
      </c>
      <c r="I611" t="str">
        <f>INDEX(products!$A$1:$G$49, MATCH(orders!$D611,products!$A$1:$A$49,0), MATCH(I$1,products!$A$1:$G$1,0))</f>
        <v>Lib</v>
      </c>
      <c r="J611" t="str">
        <f>INDEX(products!$A$1:$G$49, MATCH(orders!$D611,products!$A$1:$A$49,0), MATCH(J$1,products!$A$1:$G$1,0))</f>
        <v>M</v>
      </c>
      <c r="K611" s="4">
        <f>INDEX(products!$A$1:$G$49, MATCH(orders!$D611,products!$A$1:$A$49,0), MATCH(K$1,products!$A$1:$G$1,0))</f>
        <v>0.2</v>
      </c>
      <c r="L611" s="5">
        <f>INDEX(products!$A$1:$G$49, MATCH(orders!$D611,products!$A$1:$A$49,0), MATCH(L$1,products!$A$1:$G$1,0))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 = 0, "", _xlfn.XLOOKUP(C612,customers!$A$1:$A$1001,customers!$C$1:$C$1001,,0))</f>
        <v>acleyburngy@lycos.com</v>
      </c>
      <c r="H612" s="2" t="str">
        <f>_xlfn.XLOOKUP(C612,customers!$A$1:$A$1001,customers!$G$1:$G$1001,,0)</f>
        <v>United States</v>
      </c>
      <c r="I612" t="str">
        <f>INDEX(products!$A$1:$G$49, MATCH(orders!$D612,products!$A$1:$A$49,0), MATCH(I$1,products!$A$1:$G$1,0))</f>
        <v>Rob</v>
      </c>
      <c r="J612" t="str">
        <f>INDEX(products!$A$1:$G$49, MATCH(orders!$D612,products!$A$1:$A$49,0), MATCH(J$1,products!$A$1:$G$1,0))</f>
        <v>M</v>
      </c>
      <c r="K612" s="4">
        <f>INDEX(products!$A$1:$G$49, MATCH(orders!$D612,products!$A$1:$A$49,0), MATCH(K$1,products!$A$1:$G$1,0))</f>
        <v>1</v>
      </c>
      <c r="L612" s="5">
        <f>INDEX(products!$A$1:$G$49, MATCH(orders!$D612,products!$A$1:$A$49,0), MATCH(L$1,products!$A$1:$G$1,0))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 = 0, "", _xlfn.XLOOKUP(C613,customers!$A$1:$A$1001,customers!$C$1:$C$1001,,0))</f>
        <v>tcastiglionegz@xing.com</v>
      </c>
      <c r="H613" s="2" t="str">
        <f>_xlfn.XLOOKUP(C613,customers!$A$1:$A$1001,customers!$G$1:$G$1001,,0)</f>
        <v>United States</v>
      </c>
      <c r="I613" t="str">
        <f>INDEX(products!$A$1:$G$49, MATCH(orders!$D613,products!$A$1:$A$49,0), MATCH(I$1,products!$A$1:$G$1,0))</f>
        <v>Exc</v>
      </c>
      <c r="J613" t="str">
        <f>INDEX(products!$A$1:$G$49, MATCH(orders!$D613,products!$A$1:$A$49,0), MATCH(J$1,products!$A$1:$G$1,0))</f>
        <v>L</v>
      </c>
      <c r="K613" s="4">
        <f>INDEX(products!$A$1:$G$49, MATCH(orders!$D613,products!$A$1:$A$49,0), MATCH(K$1,products!$A$1:$G$1,0))</f>
        <v>2.5</v>
      </c>
      <c r="L613" s="5">
        <f>INDEX(products!$A$1:$G$49, MATCH(orders!$D613,products!$A$1:$A$49,0), MATCH(L$1,products!$A$1:$G$1,0))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 = 0, "", _xlfn.XLOOKUP(C614,customers!$A$1:$A$1001,customers!$C$1:$C$1001,,0))</f>
        <v/>
      </c>
      <c r="H614" s="2" t="str">
        <f>_xlfn.XLOOKUP(C614,customers!$A$1:$A$1001,customers!$G$1:$G$1001,,0)</f>
        <v>Ireland</v>
      </c>
      <c r="I614" t="str">
        <f>INDEX(products!$A$1:$G$49, MATCH(orders!$D614,products!$A$1:$A$49,0), MATCH(I$1,products!$A$1:$G$1,0))</f>
        <v>Ara</v>
      </c>
      <c r="J614" t="str">
        <f>INDEX(products!$A$1:$G$49, MATCH(orders!$D614,products!$A$1:$A$49,0), MATCH(J$1,products!$A$1:$G$1,0))</f>
        <v>M</v>
      </c>
      <c r="K614" s="4">
        <f>INDEX(products!$A$1:$G$49, MATCH(orders!$D614,products!$A$1:$A$49,0), MATCH(K$1,products!$A$1:$G$1,0))</f>
        <v>0.2</v>
      </c>
      <c r="L614" s="5">
        <f>INDEX(products!$A$1:$G$49, MATCH(orders!$D614,products!$A$1:$A$49,0), MATCH(L$1,products!$A$1:$G$1,0))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 = 0, "", _xlfn.XLOOKUP(C615,customers!$A$1:$A$1001,customers!$C$1:$C$1001,,0))</f>
        <v/>
      </c>
      <c r="H615" s="2" t="str">
        <f>_xlfn.XLOOKUP(C615,customers!$A$1:$A$1001,customers!$G$1:$G$1001,,0)</f>
        <v>United States</v>
      </c>
      <c r="I615" t="str">
        <f>INDEX(products!$A$1:$G$49, MATCH(orders!$D615,products!$A$1:$A$49,0), MATCH(I$1,products!$A$1:$G$1,0))</f>
        <v>Rob</v>
      </c>
      <c r="J615" t="str">
        <f>INDEX(products!$A$1:$G$49, MATCH(orders!$D615,products!$A$1:$A$49,0), MATCH(J$1,products!$A$1:$G$1,0))</f>
        <v>M</v>
      </c>
      <c r="K615" s="4">
        <f>INDEX(products!$A$1:$G$49, MATCH(orders!$D615,products!$A$1:$A$49,0), MATCH(K$1,products!$A$1:$G$1,0))</f>
        <v>0.5</v>
      </c>
      <c r="L615" s="5">
        <f>INDEX(products!$A$1:$G$49, MATCH(orders!$D615,products!$A$1:$A$49,0), MATCH(L$1,products!$A$1:$G$1,0))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 = 0, "", _xlfn.XLOOKUP(C616,customers!$A$1:$A$1001,customers!$C$1:$C$1001,,0))</f>
        <v>cverissimogh@theglobeandmail.com</v>
      </c>
      <c r="H616" s="2" t="str">
        <f>_xlfn.XLOOKUP(C616,customers!$A$1:$A$1001,customers!$G$1:$G$1001,,0)</f>
        <v>United Kingdom</v>
      </c>
      <c r="I616" t="str">
        <f>INDEX(products!$A$1:$G$49, MATCH(orders!$D616,products!$A$1:$A$49,0), MATCH(I$1,products!$A$1:$G$1,0))</f>
        <v>Rob</v>
      </c>
      <c r="J616" t="str">
        <f>INDEX(products!$A$1:$G$49, MATCH(orders!$D616,products!$A$1:$A$49,0), MATCH(J$1,products!$A$1:$G$1,0))</f>
        <v>M</v>
      </c>
      <c r="K616" s="4">
        <f>INDEX(products!$A$1:$G$49, MATCH(orders!$D616,products!$A$1:$A$49,0), MATCH(K$1,products!$A$1:$G$1,0))</f>
        <v>0.5</v>
      </c>
      <c r="L616" s="5">
        <f>INDEX(products!$A$1:$G$49, MATCH(orders!$D616,products!$A$1:$A$49,0), MATCH(L$1,products!$A$1:$G$1,0))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 = 0, "", _xlfn.XLOOKUP(C617,customers!$A$1:$A$1001,customers!$C$1:$C$1001,,0))</f>
        <v>scouronneh3@mozilla.org</v>
      </c>
      <c r="H617" s="2" t="str">
        <f>_xlfn.XLOOKUP(C617,customers!$A$1:$A$1001,customers!$G$1:$G$1001,,0)</f>
        <v>United States</v>
      </c>
      <c r="I617" t="str">
        <f>INDEX(products!$A$1:$G$49, MATCH(orders!$D617,products!$A$1:$A$49,0), MATCH(I$1,products!$A$1:$G$1,0))</f>
        <v>Lib</v>
      </c>
      <c r="J617" t="str">
        <f>INDEX(products!$A$1:$G$49, MATCH(orders!$D617,products!$A$1:$A$49,0), MATCH(J$1,products!$A$1:$G$1,0))</f>
        <v>L</v>
      </c>
      <c r="K617" s="4">
        <f>INDEX(products!$A$1:$G$49, MATCH(orders!$D617,products!$A$1:$A$49,0), MATCH(K$1,products!$A$1:$G$1,0))</f>
        <v>2.5</v>
      </c>
      <c r="L617" s="5">
        <f>INDEX(products!$A$1:$G$49, MATCH(orders!$D617,products!$A$1:$A$49,0), MATCH(L$1,products!$A$1:$G$1,0))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 = 0, "", _xlfn.XLOOKUP(C618,customers!$A$1:$A$1001,customers!$C$1:$C$1001,,0))</f>
        <v>lflippellih4@github.io</v>
      </c>
      <c r="H618" s="2" t="str">
        <f>_xlfn.XLOOKUP(C618,customers!$A$1:$A$1001,customers!$G$1:$G$1001,,0)</f>
        <v>United Kingdom</v>
      </c>
      <c r="I618" t="str">
        <f>INDEX(products!$A$1:$G$49, MATCH(orders!$D618,products!$A$1:$A$49,0), MATCH(I$1,products!$A$1:$G$1,0))</f>
        <v>Exc</v>
      </c>
      <c r="J618" t="str">
        <f>INDEX(products!$A$1:$G$49, MATCH(orders!$D618,products!$A$1:$A$49,0), MATCH(J$1,products!$A$1:$G$1,0))</f>
        <v>M</v>
      </c>
      <c r="K618" s="4">
        <f>INDEX(products!$A$1:$G$49, MATCH(orders!$D618,products!$A$1:$A$49,0), MATCH(K$1,products!$A$1:$G$1,0))</f>
        <v>2.5</v>
      </c>
      <c r="L618" s="5">
        <f>INDEX(products!$A$1:$G$49, MATCH(orders!$D618,products!$A$1:$A$49,0), MATCH(L$1,products!$A$1:$G$1,0))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 = 0, "", _xlfn.XLOOKUP(C619,customers!$A$1:$A$1001,customers!$C$1:$C$1001,,0))</f>
        <v>relizabethh5@live.com</v>
      </c>
      <c r="H619" s="2" t="str">
        <f>_xlfn.XLOOKUP(C619,customers!$A$1:$A$1001,customers!$G$1:$G$1001,,0)</f>
        <v>United States</v>
      </c>
      <c r="I619" t="str">
        <f>INDEX(products!$A$1:$G$49, MATCH(orders!$D619,products!$A$1:$A$49,0), MATCH(I$1,products!$A$1:$G$1,0))</f>
        <v>Lib</v>
      </c>
      <c r="J619" t="str">
        <f>INDEX(products!$A$1:$G$49, MATCH(orders!$D619,products!$A$1:$A$49,0), MATCH(J$1,products!$A$1:$G$1,0))</f>
        <v>M</v>
      </c>
      <c r="K619" s="4">
        <f>INDEX(products!$A$1:$G$49, MATCH(orders!$D619,products!$A$1:$A$49,0), MATCH(K$1,products!$A$1:$G$1,0))</f>
        <v>2.5</v>
      </c>
      <c r="L619" s="5">
        <f>INDEX(products!$A$1:$G$49, MATCH(orders!$D619,products!$A$1:$A$49,0), MATCH(L$1,products!$A$1:$G$1,0))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 = 0, "", _xlfn.XLOOKUP(C620,customers!$A$1:$A$1001,customers!$C$1:$C$1001,,0))</f>
        <v>irenhardh6@i2i.jp</v>
      </c>
      <c r="H620" s="2" t="str">
        <f>_xlfn.XLOOKUP(C620,customers!$A$1:$A$1001,customers!$G$1:$G$1001,,0)</f>
        <v>United States</v>
      </c>
      <c r="I620" t="str">
        <f>INDEX(products!$A$1:$G$49, MATCH(orders!$D620,products!$A$1:$A$49,0), MATCH(I$1,products!$A$1:$G$1,0))</f>
        <v>Exc</v>
      </c>
      <c r="J620" t="str">
        <f>INDEX(products!$A$1:$G$49, MATCH(orders!$D620,products!$A$1:$A$49,0), MATCH(J$1,products!$A$1:$G$1,0))</f>
        <v>D</v>
      </c>
      <c r="K620" s="4">
        <f>INDEX(products!$A$1:$G$49, MATCH(orders!$D620,products!$A$1:$A$49,0), MATCH(K$1,products!$A$1:$G$1,0))</f>
        <v>1</v>
      </c>
      <c r="L620" s="5">
        <f>INDEX(products!$A$1:$G$49, MATCH(orders!$D620,products!$A$1:$A$49,0), MATCH(L$1,products!$A$1:$G$1,0))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 = 0, "", _xlfn.XLOOKUP(C621,customers!$A$1:$A$1001,customers!$C$1:$C$1001,,0))</f>
        <v>wrocheh7@xinhuanet.com</v>
      </c>
      <c r="H621" s="2" t="str">
        <f>_xlfn.XLOOKUP(C621,customers!$A$1:$A$1001,customers!$G$1:$G$1001,,0)</f>
        <v>United States</v>
      </c>
      <c r="I621" t="str">
        <f>INDEX(products!$A$1:$G$49, MATCH(orders!$D621,products!$A$1:$A$49,0), MATCH(I$1,products!$A$1:$G$1,0))</f>
        <v>Lib</v>
      </c>
      <c r="J621" t="str">
        <f>INDEX(products!$A$1:$G$49, MATCH(orders!$D621,products!$A$1:$A$49,0), MATCH(J$1,products!$A$1:$G$1,0))</f>
        <v>D</v>
      </c>
      <c r="K621" s="4">
        <f>INDEX(products!$A$1:$G$49, MATCH(orders!$D621,products!$A$1:$A$49,0), MATCH(K$1,products!$A$1:$G$1,0))</f>
        <v>0.5</v>
      </c>
      <c r="L621" s="5">
        <f>INDEX(products!$A$1:$G$49, MATCH(orders!$D621,products!$A$1:$A$49,0), MATCH(L$1,products!$A$1:$G$1,0))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 = 0, "", _xlfn.XLOOKUP(C622,customers!$A$1:$A$1001,customers!$C$1:$C$1001,,0))</f>
        <v>lalawayhh@weather.com</v>
      </c>
      <c r="H622" s="2" t="str">
        <f>_xlfn.XLOOKUP(C622,customers!$A$1:$A$1001,customers!$G$1:$G$1001,,0)</f>
        <v>United States</v>
      </c>
      <c r="I622" t="str">
        <f>INDEX(products!$A$1:$G$49, MATCH(orders!$D622,products!$A$1:$A$49,0), MATCH(I$1,products!$A$1:$G$1,0))</f>
        <v>Ara</v>
      </c>
      <c r="J622" t="str">
        <f>INDEX(products!$A$1:$G$49, MATCH(orders!$D622,products!$A$1:$A$49,0), MATCH(J$1,products!$A$1:$G$1,0))</f>
        <v>M</v>
      </c>
      <c r="K622" s="4">
        <f>INDEX(products!$A$1:$G$49, MATCH(orders!$D622,products!$A$1:$A$49,0), MATCH(K$1,products!$A$1:$G$1,0))</f>
        <v>0.2</v>
      </c>
      <c r="L622" s="5">
        <f>INDEX(products!$A$1:$G$49, MATCH(orders!$D622,products!$A$1:$A$49,0), MATCH(L$1,products!$A$1:$G$1,0))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 = 0, "", _xlfn.XLOOKUP(C623,customers!$A$1:$A$1001,customers!$C$1:$C$1001,,0))</f>
        <v>codgaardh9@nsw.gov.au</v>
      </c>
      <c r="H623" s="2" t="str">
        <f>_xlfn.XLOOKUP(C623,customers!$A$1:$A$1001,customers!$G$1:$G$1001,,0)</f>
        <v>United States</v>
      </c>
      <c r="I623" t="str">
        <f>INDEX(products!$A$1:$G$49, MATCH(orders!$D623,products!$A$1:$A$49,0), MATCH(I$1,products!$A$1:$G$1,0))</f>
        <v>Ara</v>
      </c>
      <c r="J623" t="str">
        <f>INDEX(products!$A$1:$G$49, MATCH(orders!$D623,products!$A$1:$A$49,0), MATCH(J$1,products!$A$1:$G$1,0))</f>
        <v>L</v>
      </c>
      <c r="K623" s="4">
        <f>INDEX(products!$A$1:$G$49, MATCH(orders!$D623,products!$A$1:$A$49,0), MATCH(K$1,products!$A$1:$G$1,0))</f>
        <v>1</v>
      </c>
      <c r="L623" s="5">
        <f>INDEX(products!$A$1:$G$49, MATCH(orders!$D623,products!$A$1:$A$49,0), MATCH(L$1,products!$A$1:$G$1,0))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 = 0, "", _xlfn.XLOOKUP(C624,customers!$A$1:$A$1001,customers!$C$1:$C$1001,,0))</f>
        <v>bbyrdha@4shared.com</v>
      </c>
      <c r="H624" s="2" t="str">
        <f>_xlfn.XLOOKUP(C624,customers!$A$1:$A$1001,customers!$G$1:$G$1001,,0)</f>
        <v>United States</v>
      </c>
      <c r="I624" t="str">
        <f>INDEX(products!$A$1:$G$49, MATCH(orders!$D624,products!$A$1:$A$49,0), MATCH(I$1,products!$A$1:$G$1,0))</f>
        <v>Lib</v>
      </c>
      <c r="J624" t="str">
        <f>INDEX(products!$A$1:$G$49, MATCH(orders!$D624,products!$A$1:$A$49,0), MATCH(J$1,products!$A$1:$G$1,0))</f>
        <v>M</v>
      </c>
      <c r="K624" s="4">
        <f>INDEX(products!$A$1:$G$49, MATCH(orders!$D624,products!$A$1:$A$49,0), MATCH(K$1,products!$A$1:$G$1,0))</f>
        <v>2.5</v>
      </c>
      <c r="L624" s="5">
        <f>INDEX(products!$A$1:$G$49, MATCH(orders!$D624,products!$A$1:$A$49,0), MATCH(L$1,products!$A$1:$G$1,0))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 = 0, "", _xlfn.XLOOKUP(C625,customers!$A$1:$A$1001,customers!$C$1:$C$1001,,0))</f>
        <v/>
      </c>
      <c r="H625" s="2" t="str">
        <f>_xlfn.XLOOKUP(C625,customers!$A$1:$A$1001,customers!$G$1:$G$1001,,0)</f>
        <v>United Kingdom</v>
      </c>
      <c r="I625" t="str">
        <f>INDEX(products!$A$1:$G$49, MATCH(orders!$D625,products!$A$1:$A$49,0), MATCH(I$1,products!$A$1:$G$1,0))</f>
        <v>Exc</v>
      </c>
      <c r="J625" t="str">
        <f>INDEX(products!$A$1:$G$49, MATCH(orders!$D625,products!$A$1:$A$49,0), MATCH(J$1,products!$A$1:$G$1,0))</f>
        <v>D</v>
      </c>
      <c r="K625" s="4">
        <f>INDEX(products!$A$1:$G$49, MATCH(orders!$D625,products!$A$1:$A$49,0), MATCH(K$1,products!$A$1:$G$1,0))</f>
        <v>1</v>
      </c>
      <c r="L625" s="5">
        <f>INDEX(products!$A$1:$G$49, MATCH(orders!$D625,products!$A$1:$A$49,0), MATCH(L$1,products!$A$1:$G$1,0))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 = 0, "", _xlfn.XLOOKUP(C626,customers!$A$1:$A$1001,customers!$C$1:$C$1001,,0))</f>
        <v>dchardinhc@nhs.uk</v>
      </c>
      <c r="H626" s="2" t="str">
        <f>_xlfn.XLOOKUP(C626,customers!$A$1:$A$1001,customers!$G$1:$G$1001,,0)</f>
        <v>Ireland</v>
      </c>
      <c r="I626" t="str">
        <f>INDEX(products!$A$1:$G$49, MATCH(orders!$D626,products!$A$1:$A$49,0), MATCH(I$1,products!$A$1:$G$1,0))</f>
        <v>Exc</v>
      </c>
      <c r="J626" t="str">
        <f>INDEX(products!$A$1:$G$49, MATCH(orders!$D626,products!$A$1:$A$49,0), MATCH(J$1,products!$A$1:$G$1,0))</f>
        <v>M</v>
      </c>
      <c r="K626" s="4">
        <f>INDEX(products!$A$1:$G$49, MATCH(orders!$D626,products!$A$1:$A$49,0), MATCH(K$1,products!$A$1:$G$1,0))</f>
        <v>2.5</v>
      </c>
      <c r="L626" s="5">
        <f>INDEX(products!$A$1:$G$49, MATCH(orders!$D626,products!$A$1:$A$49,0), MATCH(L$1,products!$A$1:$G$1,0))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 = 0, "", _xlfn.XLOOKUP(C627,customers!$A$1:$A$1001,customers!$C$1:$C$1001,,0))</f>
        <v>hradbonehd@newsvine.com</v>
      </c>
      <c r="H627" s="2" t="str">
        <f>_xlfn.XLOOKUP(C627,customers!$A$1:$A$1001,customers!$G$1:$G$1001,,0)</f>
        <v>United States</v>
      </c>
      <c r="I627" t="str">
        <f>INDEX(products!$A$1:$G$49, MATCH(orders!$D627,products!$A$1:$A$49,0), MATCH(I$1,products!$A$1:$G$1,0))</f>
        <v>Rob</v>
      </c>
      <c r="J627" t="str">
        <f>INDEX(products!$A$1:$G$49, MATCH(orders!$D627,products!$A$1:$A$49,0), MATCH(J$1,products!$A$1:$G$1,0))</f>
        <v>L</v>
      </c>
      <c r="K627" s="4">
        <f>INDEX(products!$A$1:$G$49, MATCH(orders!$D627,products!$A$1:$A$49,0), MATCH(K$1,products!$A$1:$G$1,0))</f>
        <v>0.5</v>
      </c>
      <c r="L627" s="5">
        <f>INDEX(products!$A$1:$G$49, MATCH(orders!$D627,products!$A$1:$A$49,0), MATCH(L$1,products!$A$1:$G$1,0))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 = 0, "", _xlfn.XLOOKUP(C628,customers!$A$1:$A$1001,customers!$C$1:$C$1001,,0))</f>
        <v>wbernthhe@miitbeian.gov.cn</v>
      </c>
      <c r="H628" s="2" t="str">
        <f>_xlfn.XLOOKUP(C628,customers!$A$1:$A$1001,customers!$G$1:$G$1001,,0)</f>
        <v>United States</v>
      </c>
      <c r="I628" t="str">
        <f>INDEX(products!$A$1:$G$49, MATCH(orders!$D628,products!$A$1:$A$49,0), MATCH(I$1,products!$A$1:$G$1,0))</f>
        <v>Ara</v>
      </c>
      <c r="J628" t="str">
        <f>INDEX(products!$A$1:$G$49, MATCH(orders!$D628,products!$A$1:$A$49,0), MATCH(J$1,products!$A$1:$G$1,0))</f>
        <v>M</v>
      </c>
      <c r="K628" s="4">
        <f>INDEX(products!$A$1:$G$49, MATCH(orders!$D628,products!$A$1:$A$49,0), MATCH(K$1,products!$A$1:$G$1,0))</f>
        <v>2.5</v>
      </c>
      <c r="L628" s="5">
        <f>INDEX(products!$A$1:$G$49, MATCH(orders!$D628,products!$A$1:$A$49,0), MATCH(L$1,products!$A$1:$G$1,0))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 = 0, "", _xlfn.XLOOKUP(C629,customers!$A$1:$A$1001,customers!$C$1:$C$1001,,0))</f>
        <v>bacarsonhf@cnn.com</v>
      </c>
      <c r="H629" s="2" t="str">
        <f>_xlfn.XLOOKUP(C629,customers!$A$1:$A$1001,customers!$G$1:$G$1001,,0)</f>
        <v>United States</v>
      </c>
      <c r="I629" t="str">
        <f>INDEX(products!$A$1:$G$49, MATCH(orders!$D629,products!$A$1:$A$49,0), MATCH(I$1,products!$A$1:$G$1,0))</f>
        <v>Exc</v>
      </c>
      <c r="J629" t="str">
        <f>INDEX(products!$A$1:$G$49, MATCH(orders!$D629,products!$A$1:$A$49,0), MATCH(J$1,products!$A$1:$G$1,0))</f>
        <v>M</v>
      </c>
      <c r="K629" s="4">
        <f>INDEX(products!$A$1:$G$49, MATCH(orders!$D629,products!$A$1:$A$49,0), MATCH(K$1,products!$A$1:$G$1,0))</f>
        <v>2.5</v>
      </c>
      <c r="L629" s="5">
        <f>INDEX(products!$A$1:$G$49, MATCH(orders!$D629,products!$A$1:$A$49,0), MATCH(L$1,products!$A$1:$G$1,0))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 = 0, "", _xlfn.XLOOKUP(C630,customers!$A$1:$A$1001,customers!$C$1:$C$1001,,0))</f>
        <v>fbrighamhg@blog.com</v>
      </c>
      <c r="H630" s="2" t="str">
        <f>_xlfn.XLOOKUP(C630,customers!$A$1:$A$1001,customers!$G$1:$G$1001,,0)</f>
        <v>Ireland</v>
      </c>
      <c r="I630" t="str">
        <f>INDEX(products!$A$1:$G$49, MATCH(orders!$D630,products!$A$1:$A$49,0), MATCH(I$1,products!$A$1:$G$1,0))</f>
        <v>Exc</v>
      </c>
      <c r="J630" t="str">
        <f>INDEX(products!$A$1:$G$49, MATCH(orders!$D630,products!$A$1:$A$49,0), MATCH(J$1,products!$A$1:$G$1,0))</f>
        <v>L</v>
      </c>
      <c r="K630" s="4">
        <f>INDEX(products!$A$1:$G$49, MATCH(orders!$D630,products!$A$1:$A$49,0), MATCH(K$1,products!$A$1:$G$1,0))</f>
        <v>0.2</v>
      </c>
      <c r="L630" s="5">
        <f>INDEX(products!$A$1:$G$49, MATCH(orders!$D630,products!$A$1:$A$49,0), MATCH(L$1,products!$A$1:$G$1,0))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 = 0, "", _xlfn.XLOOKUP(C631,customers!$A$1:$A$1001,customers!$C$1:$C$1001,,0))</f>
        <v>fbrighamhg@blog.com</v>
      </c>
      <c r="H631" s="2" t="str">
        <f>_xlfn.XLOOKUP(C631,customers!$A$1:$A$1001,customers!$G$1:$G$1001,,0)</f>
        <v>Ireland</v>
      </c>
      <c r="I631" t="str">
        <f>INDEX(products!$A$1:$G$49, MATCH(orders!$D631,products!$A$1:$A$49,0), MATCH(I$1,products!$A$1:$G$1,0))</f>
        <v>Lib</v>
      </c>
      <c r="J631" t="str">
        <f>INDEX(products!$A$1:$G$49, MATCH(orders!$D631,products!$A$1:$A$49,0), MATCH(J$1,products!$A$1:$G$1,0))</f>
        <v>D</v>
      </c>
      <c r="K631" s="4">
        <f>INDEX(products!$A$1:$G$49, MATCH(orders!$D631,products!$A$1:$A$49,0), MATCH(K$1,products!$A$1:$G$1,0))</f>
        <v>0.5</v>
      </c>
      <c r="L631" s="5">
        <f>INDEX(products!$A$1:$G$49, MATCH(orders!$D631,products!$A$1:$A$49,0), MATCH(L$1,products!$A$1:$G$1,0))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 = 0, "", _xlfn.XLOOKUP(C632,customers!$A$1:$A$1001,customers!$C$1:$C$1001,,0))</f>
        <v>fbrighamhg@blog.com</v>
      </c>
      <c r="H632" s="2" t="str">
        <f>_xlfn.XLOOKUP(C632,customers!$A$1:$A$1001,customers!$G$1:$G$1001,,0)</f>
        <v>Ireland</v>
      </c>
      <c r="I632" t="str">
        <f>INDEX(products!$A$1:$G$49, MATCH(orders!$D632,products!$A$1:$A$49,0), MATCH(I$1,products!$A$1:$G$1,0))</f>
        <v>Ara</v>
      </c>
      <c r="J632" t="str">
        <f>INDEX(products!$A$1:$G$49, MATCH(orders!$D632,products!$A$1:$A$49,0), MATCH(J$1,products!$A$1:$G$1,0))</f>
        <v>D</v>
      </c>
      <c r="K632" s="4">
        <f>INDEX(products!$A$1:$G$49, MATCH(orders!$D632,products!$A$1:$A$49,0), MATCH(K$1,products!$A$1:$G$1,0))</f>
        <v>0.2</v>
      </c>
      <c r="L632" s="5">
        <f>INDEX(products!$A$1:$G$49, MATCH(orders!$D632,products!$A$1:$A$49,0), MATCH(L$1,products!$A$1:$G$1,0))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 = 0, "", _xlfn.XLOOKUP(C633,customers!$A$1:$A$1001,customers!$C$1:$C$1001,,0))</f>
        <v>fbrighamhg@blog.com</v>
      </c>
      <c r="H633" s="2" t="str">
        <f>_xlfn.XLOOKUP(C633,customers!$A$1:$A$1001,customers!$G$1:$G$1001,,0)</f>
        <v>Ireland</v>
      </c>
      <c r="I633" t="str">
        <f>INDEX(products!$A$1:$G$49, MATCH(orders!$D633,products!$A$1:$A$49,0), MATCH(I$1,products!$A$1:$G$1,0))</f>
        <v>Rob</v>
      </c>
      <c r="J633" t="str">
        <f>INDEX(products!$A$1:$G$49, MATCH(orders!$D633,products!$A$1:$A$49,0), MATCH(J$1,products!$A$1:$G$1,0))</f>
        <v>D</v>
      </c>
      <c r="K633" s="4">
        <f>INDEX(products!$A$1:$G$49, MATCH(orders!$D633,products!$A$1:$A$49,0), MATCH(K$1,products!$A$1:$G$1,0))</f>
        <v>2.5</v>
      </c>
      <c r="L633" s="5">
        <f>INDEX(products!$A$1:$G$49, MATCH(orders!$D633,products!$A$1:$A$49,0), MATCH(L$1,products!$A$1:$G$1,0))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 = 0, "", _xlfn.XLOOKUP(C634,customers!$A$1:$A$1001,customers!$C$1:$C$1001,,0))</f>
        <v>myoxenhk@google.com</v>
      </c>
      <c r="H634" s="2" t="str">
        <f>_xlfn.XLOOKUP(C634,customers!$A$1:$A$1001,customers!$G$1:$G$1001,,0)</f>
        <v>United States</v>
      </c>
      <c r="I634" t="str">
        <f>INDEX(products!$A$1:$G$49, MATCH(orders!$D634,products!$A$1:$A$49,0), MATCH(I$1,products!$A$1:$G$1,0))</f>
        <v>Exc</v>
      </c>
      <c r="J634" t="str">
        <f>INDEX(products!$A$1:$G$49, MATCH(orders!$D634,products!$A$1:$A$49,0), MATCH(J$1,products!$A$1:$G$1,0))</f>
        <v>L</v>
      </c>
      <c r="K634" s="4">
        <f>INDEX(products!$A$1:$G$49, MATCH(orders!$D634,products!$A$1:$A$49,0), MATCH(K$1,products!$A$1:$G$1,0))</f>
        <v>0.5</v>
      </c>
      <c r="L634" s="5">
        <f>INDEX(products!$A$1:$G$49, MATCH(orders!$D634,products!$A$1:$A$49,0), MATCH(L$1,products!$A$1:$G$1,0))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 = 0, "", _xlfn.XLOOKUP(C635,customers!$A$1:$A$1001,customers!$C$1:$C$1001,,0))</f>
        <v>gmcgavinhl@histats.com</v>
      </c>
      <c r="H635" s="2" t="str">
        <f>_xlfn.XLOOKUP(C635,customers!$A$1:$A$1001,customers!$G$1:$G$1001,,0)</f>
        <v>United States</v>
      </c>
      <c r="I635" t="str">
        <f>INDEX(products!$A$1:$G$49, MATCH(orders!$D635,products!$A$1:$A$49,0), MATCH(I$1,products!$A$1:$G$1,0))</f>
        <v>Rob</v>
      </c>
      <c r="J635" t="str">
        <f>INDEX(products!$A$1:$G$49, MATCH(orders!$D635,products!$A$1:$A$49,0), MATCH(J$1,products!$A$1:$G$1,0))</f>
        <v>L</v>
      </c>
      <c r="K635" s="4">
        <f>INDEX(products!$A$1:$G$49, MATCH(orders!$D635,products!$A$1:$A$49,0), MATCH(K$1,products!$A$1:$G$1,0))</f>
        <v>1</v>
      </c>
      <c r="L635" s="5">
        <f>INDEX(products!$A$1:$G$49, MATCH(orders!$D635,products!$A$1:$A$49,0), MATCH(L$1,products!$A$1:$G$1,0))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 = 0, "", _xlfn.XLOOKUP(C636,customers!$A$1:$A$1001,customers!$C$1:$C$1001,,0))</f>
        <v>luttermarehm@engadget.com</v>
      </c>
      <c r="H636" s="2" t="str">
        <f>_xlfn.XLOOKUP(C636,customers!$A$1:$A$1001,customers!$G$1:$G$1001,,0)</f>
        <v>United States</v>
      </c>
      <c r="I636" t="str">
        <f>INDEX(products!$A$1:$G$49, MATCH(orders!$D636,products!$A$1:$A$49,0), MATCH(I$1,products!$A$1:$G$1,0))</f>
        <v>Lib</v>
      </c>
      <c r="J636" t="str">
        <f>INDEX(products!$A$1:$G$49, MATCH(orders!$D636,products!$A$1:$A$49,0), MATCH(J$1,products!$A$1:$G$1,0))</f>
        <v>M</v>
      </c>
      <c r="K636" s="4">
        <f>INDEX(products!$A$1:$G$49, MATCH(orders!$D636,products!$A$1:$A$49,0), MATCH(K$1,products!$A$1:$G$1,0))</f>
        <v>1</v>
      </c>
      <c r="L636" s="5">
        <f>INDEX(products!$A$1:$G$49, MATCH(orders!$D636,products!$A$1:$A$49,0), MATCH(L$1,products!$A$1:$G$1,0))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 = 0, "", _xlfn.XLOOKUP(C637,customers!$A$1:$A$1001,customers!$C$1:$C$1001,,0))</f>
        <v>edambrogiohn@techcrunch.com</v>
      </c>
      <c r="H637" s="2" t="str">
        <f>_xlfn.XLOOKUP(C637,customers!$A$1:$A$1001,customers!$G$1:$G$1001,,0)</f>
        <v>United States</v>
      </c>
      <c r="I637" t="str">
        <f>INDEX(products!$A$1:$G$49, MATCH(orders!$D637,products!$A$1:$A$49,0), MATCH(I$1,products!$A$1:$G$1,0))</f>
        <v>Exc</v>
      </c>
      <c r="J637" t="str">
        <f>INDEX(products!$A$1:$G$49, MATCH(orders!$D637,products!$A$1:$A$49,0), MATCH(J$1,products!$A$1:$G$1,0))</f>
        <v>L</v>
      </c>
      <c r="K637" s="4">
        <f>INDEX(products!$A$1:$G$49, MATCH(orders!$D637,products!$A$1:$A$49,0), MATCH(K$1,products!$A$1:$G$1,0))</f>
        <v>0.5</v>
      </c>
      <c r="L637" s="5">
        <f>INDEX(products!$A$1:$G$49, MATCH(orders!$D637,products!$A$1:$A$49,0), MATCH(L$1,products!$A$1:$G$1,0))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 = 0, "", _xlfn.XLOOKUP(C638,customers!$A$1:$A$1001,customers!$C$1:$C$1001,,0))</f>
        <v>cwinchcombeho@jiathis.com</v>
      </c>
      <c r="H638" s="2" t="str">
        <f>_xlfn.XLOOKUP(C638,customers!$A$1:$A$1001,customers!$G$1:$G$1001,,0)</f>
        <v>United States</v>
      </c>
      <c r="I638" t="str">
        <f>INDEX(products!$A$1:$G$49, MATCH(orders!$D638,products!$A$1:$A$49,0), MATCH(I$1,products!$A$1:$G$1,0))</f>
        <v>Lib</v>
      </c>
      <c r="J638" t="str">
        <f>INDEX(products!$A$1:$G$49, MATCH(orders!$D638,products!$A$1:$A$49,0), MATCH(J$1,products!$A$1:$G$1,0))</f>
        <v>L</v>
      </c>
      <c r="K638" s="4">
        <f>INDEX(products!$A$1:$G$49, MATCH(orders!$D638,products!$A$1:$A$49,0), MATCH(K$1,products!$A$1:$G$1,0))</f>
        <v>1</v>
      </c>
      <c r="L638" s="5">
        <f>INDEX(products!$A$1:$G$49, MATCH(orders!$D638,products!$A$1:$A$49,0), MATCH(L$1,products!$A$1:$G$1,0))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 = 0, "", _xlfn.XLOOKUP(C639,customers!$A$1:$A$1001,customers!$C$1:$C$1001,,0))</f>
        <v>bpaumierhp@umn.edu</v>
      </c>
      <c r="H639" s="2" t="str">
        <f>_xlfn.XLOOKUP(C639,customers!$A$1:$A$1001,customers!$G$1:$G$1001,,0)</f>
        <v>Ireland</v>
      </c>
      <c r="I639" t="str">
        <f>INDEX(products!$A$1:$G$49, MATCH(orders!$D639,products!$A$1:$A$49,0), MATCH(I$1,products!$A$1:$G$1,0))</f>
        <v>Exc</v>
      </c>
      <c r="J639" t="str">
        <f>INDEX(products!$A$1:$G$49, MATCH(orders!$D639,products!$A$1:$A$49,0), MATCH(J$1,products!$A$1:$G$1,0))</f>
        <v>M</v>
      </c>
      <c r="K639" s="4">
        <f>INDEX(products!$A$1:$G$49, MATCH(orders!$D639,products!$A$1:$A$49,0), MATCH(K$1,products!$A$1:$G$1,0))</f>
        <v>2.5</v>
      </c>
      <c r="L639" s="5">
        <f>INDEX(products!$A$1:$G$49, MATCH(orders!$D639,products!$A$1:$A$49,0), MATCH(L$1,products!$A$1:$G$1,0))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 = 0, "", _xlfn.XLOOKUP(C640,customers!$A$1:$A$1001,customers!$C$1:$C$1001,,0))</f>
        <v/>
      </c>
      <c r="H640" s="2" t="str">
        <f>_xlfn.XLOOKUP(C640,customers!$A$1:$A$1001,customers!$G$1:$G$1001,,0)</f>
        <v>Ireland</v>
      </c>
      <c r="I640" t="str">
        <f>INDEX(products!$A$1:$G$49, MATCH(orders!$D640,products!$A$1:$A$49,0), MATCH(I$1,products!$A$1:$G$1,0))</f>
        <v>Ara</v>
      </c>
      <c r="J640" t="str">
        <f>INDEX(products!$A$1:$G$49, MATCH(orders!$D640,products!$A$1:$A$49,0), MATCH(J$1,products!$A$1:$G$1,0))</f>
        <v>M</v>
      </c>
      <c r="K640" s="4">
        <f>INDEX(products!$A$1:$G$49, MATCH(orders!$D640,products!$A$1:$A$49,0), MATCH(K$1,products!$A$1:$G$1,0))</f>
        <v>2.5</v>
      </c>
      <c r="L640" s="5">
        <f>INDEX(products!$A$1:$G$49, MATCH(orders!$D640,products!$A$1:$A$49,0), MATCH(L$1,products!$A$1:$G$1,0))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 = 0, "", _xlfn.XLOOKUP(C641,customers!$A$1:$A$1001,customers!$C$1:$C$1001,,0))</f>
        <v>jcapeyhr@bravesites.com</v>
      </c>
      <c r="H641" s="2" t="str">
        <f>_xlfn.XLOOKUP(C641,customers!$A$1:$A$1001,customers!$G$1:$G$1001,,0)</f>
        <v>United States</v>
      </c>
      <c r="I641" t="str">
        <f>INDEX(products!$A$1:$G$49, MATCH(orders!$D641,products!$A$1:$A$49,0), MATCH(I$1,products!$A$1:$G$1,0))</f>
        <v>Lib</v>
      </c>
      <c r="J641" t="str">
        <f>INDEX(products!$A$1:$G$49, MATCH(orders!$D641,products!$A$1:$A$49,0), MATCH(J$1,products!$A$1:$G$1,0))</f>
        <v>D</v>
      </c>
      <c r="K641" s="4">
        <f>INDEX(products!$A$1:$G$49, MATCH(orders!$D641,products!$A$1:$A$49,0), MATCH(K$1,products!$A$1:$G$1,0))</f>
        <v>0.2</v>
      </c>
      <c r="L641" s="5">
        <f>INDEX(products!$A$1:$G$49, MATCH(orders!$D641,products!$A$1:$A$49,0), MATCH(L$1,products!$A$1:$G$1,0))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 = 0, "", _xlfn.XLOOKUP(C642,customers!$A$1:$A$1001,customers!$C$1:$C$1001,,0))</f>
        <v>tmathonneti0@google.co.jp</v>
      </c>
      <c r="H642" s="2" t="str">
        <f>_xlfn.XLOOKUP(C642,customers!$A$1:$A$1001,customers!$G$1:$G$1001,,0)</f>
        <v>United States</v>
      </c>
      <c r="I642" t="str">
        <f>INDEX(products!$A$1:$G$49, MATCH(orders!$D642,products!$A$1:$A$49,0), MATCH(I$1,products!$A$1:$G$1,0))</f>
        <v>Rob</v>
      </c>
      <c r="J642" t="str">
        <f>INDEX(products!$A$1:$G$49, MATCH(orders!$D642,products!$A$1:$A$49,0), MATCH(J$1,products!$A$1:$G$1,0))</f>
        <v>L</v>
      </c>
      <c r="K642" s="4">
        <f>INDEX(products!$A$1:$G$49, MATCH(orders!$D642,products!$A$1:$A$49,0), MATCH(K$1,products!$A$1:$G$1,0))</f>
        <v>2.5</v>
      </c>
      <c r="L642" s="5">
        <f>INDEX(products!$A$1:$G$49, MATCH(orders!$D642,products!$A$1:$A$49,0), MATCH(L$1,products!$A$1:$G$1,0))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 = 0, "", _xlfn.XLOOKUP(C643,customers!$A$1:$A$1001,customers!$C$1:$C$1001,,0))</f>
        <v>ybasillht@theguardian.com</v>
      </c>
      <c r="H643" s="2" t="str">
        <f>_xlfn.XLOOKUP(C643,customers!$A$1:$A$1001,customers!$G$1:$G$1001,,0)</f>
        <v>United States</v>
      </c>
      <c r="I643" t="str">
        <f>INDEX(products!$A$1:$G$49, MATCH(orders!$D643,products!$A$1:$A$49,0), MATCH(I$1,products!$A$1:$G$1,0))</f>
        <v>Rob</v>
      </c>
      <c r="J643" t="str">
        <f>INDEX(products!$A$1:$G$49, MATCH(orders!$D643,products!$A$1:$A$49,0), MATCH(J$1,products!$A$1:$G$1,0))</f>
        <v>L</v>
      </c>
      <c r="K643" s="4">
        <f>INDEX(products!$A$1:$G$49, MATCH(orders!$D643,products!$A$1:$A$49,0), MATCH(K$1,products!$A$1:$G$1,0))</f>
        <v>1</v>
      </c>
      <c r="L643" s="5">
        <f>INDEX(products!$A$1:$G$49, MATCH(orders!$D643,products!$A$1:$A$49,0), MATCH(L$1,products!$A$1:$G$1,0))</f>
        <v>11.95</v>
      </c>
      <c r="M643" s="5">
        <f t="shared" ref="M643:M706" si="30">L643*E643</f>
        <v>35.849999999999994</v>
      </c>
      <c r="N643" t="str">
        <f t="shared" ref="N643:N706" si="31">IF(I643="Rob", "Robusta", IF(I643 = "Exc", "Excelsa", IF(I643 = "Ara", "Arabica", IF(I643 = "Lib", "Liberica", ""))))</f>
        <v>Robusta</v>
      </c>
      <c r="O643" t="str">
        <f t="shared" ref="O643:O706" si="32">IF(J643 = "M", "Medium", IF(J643 = "L", "Light", IF( J643 = "D", "Dark", "")))</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 = 0, "", _xlfn.XLOOKUP(C644,customers!$A$1:$A$1001,customers!$C$1:$C$1001,,0))</f>
        <v>mbaistowhu@i2i.jp</v>
      </c>
      <c r="H644" s="2" t="str">
        <f>_xlfn.XLOOKUP(C644,customers!$A$1:$A$1001,customers!$G$1:$G$1001,,0)</f>
        <v>United Kingdom</v>
      </c>
      <c r="I644" t="str">
        <f>INDEX(products!$A$1:$G$49, MATCH(orders!$D644,products!$A$1:$A$49,0), MATCH(I$1,products!$A$1:$G$1,0))</f>
        <v>Exc</v>
      </c>
      <c r="J644" t="str">
        <f>INDEX(products!$A$1:$G$49, MATCH(orders!$D644,products!$A$1:$A$49,0), MATCH(J$1,products!$A$1:$G$1,0))</f>
        <v>M</v>
      </c>
      <c r="K644" s="4">
        <f>INDEX(products!$A$1:$G$49, MATCH(orders!$D644,products!$A$1:$A$49,0), MATCH(K$1,products!$A$1:$G$1,0))</f>
        <v>0.2</v>
      </c>
      <c r="L644" s="5">
        <f>INDEX(products!$A$1:$G$49, MATCH(orders!$D644,products!$A$1:$A$49,0), MATCH(L$1,products!$A$1:$G$1,0))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 = 0, "", _xlfn.XLOOKUP(C645,customers!$A$1:$A$1001,customers!$C$1:$C$1001,,0))</f>
        <v>cpallanthv@typepad.com</v>
      </c>
      <c r="H645" s="2" t="str">
        <f>_xlfn.XLOOKUP(C645,customers!$A$1:$A$1001,customers!$G$1:$G$1001,,0)</f>
        <v>United States</v>
      </c>
      <c r="I645" t="str">
        <f>INDEX(products!$A$1:$G$49, MATCH(orders!$D645,products!$A$1:$A$49,0), MATCH(I$1,products!$A$1:$G$1,0))</f>
        <v>Exc</v>
      </c>
      <c r="J645" t="str">
        <f>INDEX(products!$A$1:$G$49, MATCH(orders!$D645,products!$A$1:$A$49,0), MATCH(J$1,products!$A$1:$G$1,0))</f>
        <v>L</v>
      </c>
      <c r="K645" s="4">
        <f>INDEX(products!$A$1:$G$49, MATCH(orders!$D645,products!$A$1:$A$49,0), MATCH(K$1,products!$A$1:$G$1,0))</f>
        <v>2.5</v>
      </c>
      <c r="L645" s="5">
        <f>INDEX(products!$A$1:$G$49, MATCH(orders!$D645,products!$A$1:$A$49,0), MATCH(L$1,products!$A$1:$G$1,0))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 = 0, "", _xlfn.XLOOKUP(C646,customers!$A$1:$A$1001,customers!$C$1:$C$1001,,0))</f>
        <v/>
      </c>
      <c r="H646" s="2" t="str">
        <f>_xlfn.XLOOKUP(C646,customers!$A$1:$A$1001,customers!$G$1:$G$1001,,0)</f>
        <v>United States</v>
      </c>
      <c r="I646" t="str">
        <f>INDEX(products!$A$1:$G$49, MATCH(orders!$D646,products!$A$1:$A$49,0), MATCH(I$1,products!$A$1:$G$1,0))</f>
        <v>Rob</v>
      </c>
      <c r="J646" t="str">
        <f>INDEX(products!$A$1:$G$49, MATCH(orders!$D646,products!$A$1:$A$49,0), MATCH(J$1,products!$A$1:$G$1,0))</f>
        <v>D</v>
      </c>
      <c r="K646" s="4">
        <f>INDEX(products!$A$1:$G$49, MATCH(orders!$D646,products!$A$1:$A$49,0), MATCH(K$1,products!$A$1:$G$1,0))</f>
        <v>2.5</v>
      </c>
      <c r="L646" s="5">
        <f>INDEX(products!$A$1:$G$49, MATCH(orders!$D646,products!$A$1:$A$49,0), MATCH(L$1,products!$A$1:$G$1,0))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 = 0, "", _xlfn.XLOOKUP(C647,customers!$A$1:$A$1001,customers!$C$1:$C$1001,,0))</f>
        <v>dohx@redcross.org</v>
      </c>
      <c r="H647" s="2" t="str">
        <f>_xlfn.XLOOKUP(C647,customers!$A$1:$A$1001,customers!$G$1:$G$1001,,0)</f>
        <v>United States</v>
      </c>
      <c r="I647" t="str">
        <f>INDEX(products!$A$1:$G$49, MATCH(orders!$D647,products!$A$1:$A$49,0), MATCH(I$1,products!$A$1:$G$1,0))</f>
        <v>Ara</v>
      </c>
      <c r="J647" t="str">
        <f>INDEX(products!$A$1:$G$49, MATCH(orders!$D647,products!$A$1:$A$49,0), MATCH(J$1,products!$A$1:$G$1,0))</f>
        <v>D</v>
      </c>
      <c r="K647" s="4">
        <f>INDEX(products!$A$1:$G$49, MATCH(orders!$D647,products!$A$1:$A$49,0), MATCH(K$1,products!$A$1:$G$1,0))</f>
        <v>2.5</v>
      </c>
      <c r="L647" s="5">
        <f>INDEX(products!$A$1:$G$49, MATCH(orders!$D647,products!$A$1:$A$49,0), MATCH(L$1,products!$A$1:$G$1,0))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 = 0, "", _xlfn.XLOOKUP(C648,customers!$A$1:$A$1001,customers!$C$1:$C$1001,,0))</f>
        <v>drallinhy@howstuffworks.com</v>
      </c>
      <c r="H648" s="2" t="str">
        <f>_xlfn.XLOOKUP(C648,customers!$A$1:$A$1001,customers!$G$1:$G$1001,,0)</f>
        <v>United States</v>
      </c>
      <c r="I648" t="str">
        <f>INDEX(products!$A$1:$G$49, MATCH(orders!$D648,products!$A$1:$A$49,0), MATCH(I$1,products!$A$1:$G$1,0))</f>
        <v>Ara</v>
      </c>
      <c r="J648" t="str">
        <f>INDEX(products!$A$1:$G$49, MATCH(orders!$D648,products!$A$1:$A$49,0), MATCH(J$1,products!$A$1:$G$1,0))</f>
        <v>D</v>
      </c>
      <c r="K648" s="4">
        <f>INDEX(products!$A$1:$G$49, MATCH(orders!$D648,products!$A$1:$A$49,0), MATCH(K$1,products!$A$1:$G$1,0))</f>
        <v>1</v>
      </c>
      <c r="L648" s="5">
        <f>INDEX(products!$A$1:$G$49, MATCH(orders!$D648,products!$A$1:$A$49,0), MATCH(L$1,products!$A$1:$G$1,0))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 = 0, "", _xlfn.XLOOKUP(C649,customers!$A$1:$A$1001,customers!$C$1:$C$1001,,0))</f>
        <v>achillhz@epa.gov</v>
      </c>
      <c r="H649" s="2" t="str">
        <f>_xlfn.XLOOKUP(C649,customers!$A$1:$A$1001,customers!$G$1:$G$1001,,0)</f>
        <v>United Kingdom</v>
      </c>
      <c r="I649" t="str">
        <f>INDEX(products!$A$1:$G$49, MATCH(orders!$D649,products!$A$1:$A$49,0), MATCH(I$1,products!$A$1:$G$1,0))</f>
        <v>Lib</v>
      </c>
      <c r="J649" t="str">
        <f>INDEX(products!$A$1:$G$49, MATCH(orders!$D649,products!$A$1:$A$49,0), MATCH(J$1,products!$A$1:$G$1,0))</f>
        <v>L</v>
      </c>
      <c r="K649" s="4">
        <f>INDEX(products!$A$1:$G$49, MATCH(orders!$D649,products!$A$1:$A$49,0), MATCH(K$1,products!$A$1:$G$1,0))</f>
        <v>0.5</v>
      </c>
      <c r="L649" s="5">
        <f>INDEX(products!$A$1:$G$49, MATCH(orders!$D649,products!$A$1:$A$49,0), MATCH(L$1,products!$A$1:$G$1,0))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 = 0, "", _xlfn.XLOOKUP(C650,customers!$A$1:$A$1001,customers!$C$1:$C$1001,,0))</f>
        <v>tmathonneti0@google.co.jp</v>
      </c>
      <c r="H650" s="2" t="str">
        <f>_xlfn.XLOOKUP(C650,customers!$A$1:$A$1001,customers!$G$1:$G$1001,,0)</f>
        <v>United States</v>
      </c>
      <c r="I650" t="str">
        <f>INDEX(products!$A$1:$G$49, MATCH(orders!$D650,products!$A$1:$A$49,0), MATCH(I$1,products!$A$1:$G$1,0))</f>
        <v>Rob</v>
      </c>
      <c r="J650" t="str">
        <f>INDEX(products!$A$1:$G$49, MATCH(orders!$D650,products!$A$1:$A$49,0), MATCH(J$1,products!$A$1:$G$1,0))</f>
        <v>D</v>
      </c>
      <c r="K650" s="4">
        <f>INDEX(products!$A$1:$G$49, MATCH(orders!$D650,products!$A$1:$A$49,0), MATCH(K$1,products!$A$1:$G$1,0))</f>
        <v>0.2</v>
      </c>
      <c r="L650" s="5">
        <f>INDEX(products!$A$1:$G$49, MATCH(orders!$D650,products!$A$1:$A$49,0), MATCH(L$1,products!$A$1:$G$1,0))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 = 0, "", _xlfn.XLOOKUP(C651,customers!$A$1:$A$1001,customers!$C$1:$C$1001,,0))</f>
        <v>cdenysi1@is.gd</v>
      </c>
      <c r="H651" s="2" t="str">
        <f>_xlfn.XLOOKUP(C651,customers!$A$1:$A$1001,customers!$G$1:$G$1001,,0)</f>
        <v>United Kingdom</v>
      </c>
      <c r="I651" t="str">
        <f>INDEX(products!$A$1:$G$49, MATCH(orders!$D651,products!$A$1:$A$49,0), MATCH(I$1,products!$A$1:$G$1,0))</f>
        <v>Lib</v>
      </c>
      <c r="J651" t="str">
        <f>INDEX(products!$A$1:$G$49, MATCH(orders!$D651,products!$A$1:$A$49,0), MATCH(J$1,products!$A$1:$G$1,0))</f>
        <v>L</v>
      </c>
      <c r="K651" s="4">
        <f>INDEX(products!$A$1:$G$49, MATCH(orders!$D651,products!$A$1:$A$49,0), MATCH(K$1,products!$A$1:$G$1,0))</f>
        <v>1</v>
      </c>
      <c r="L651" s="5">
        <f>INDEX(products!$A$1:$G$49, MATCH(orders!$D651,products!$A$1:$A$49,0), MATCH(L$1,products!$A$1:$G$1,0))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 = 0, "", _xlfn.XLOOKUP(C652,customers!$A$1:$A$1001,customers!$C$1:$C$1001,,0))</f>
        <v>cstebbingsi2@drupal.org</v>
      </c>
      <c r="H652" s="2" t="str">
        <f>_xlfn.XLOOKUP(C652,customers!$A$1:$A$1001,customers!$G$1:$G$1001,,0)</f>
        <v>United States</v>
      </c>
      <c r="I652" t="str">
        <f>INDEX(products!$A$1:$G$49, MATCH(orders!$D652,products!$A$1:$A$49,0), MATCH(I$1,products!$A$1:$G$1,0))</f>
        <v>Rob</v>
      </c>
      <c r="J652" t="str">
        <f>INDEX(products!$A$1:$G$49, MATCH(orders!$D652,products!$A$1:$A$49,0), MATCH(J$1,products!$A$1:$G$1,0))</f>
        <v>D</v>
      </c>
      <c r="K652" s="4">
        <f>INDEX(products!$A$1:$G$49, MATCH(orders!$D652,products!$A$1:$A$49,0), MATCH(K$1,products!$A$1:$G$1,0))</f>
        <v>0.5</v>
      </c>
      <c r="L652" s="5">
        <f>INDEX(products!$A$1:$G$49, MATCH(orders!$D652,products!$A$1:$A$49,0), MATCH(L$1,products!$A$1:$G$1,0))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 = 0, "", _xlfn.XLOOKUP(C653,customers!$A$1:$A$1001,customers!$C$1:$C$1001,,0))</f>
        <v/>
      </c>
      <c r="H653" s="2" t="str">
        <f>_xlfn.XLOOKUP(C653,customers!$A$1:$A$1001,customers!$G$1:$G$1001,,0)</f>
        <v>United States</v>
      </c>
      <c r="I653" t="str">
        <f>INDEX(products!$A$1:$G$49, MATCH(orders!$D653,products!$A$1:$A$49,0), MATCH(I$1,products!$A$1:$G$1,0))</f>
        <v>Rob</v>
      </c>
      <c r="J653" t="str">
        <f>INDEX(products!$A$1:$G$49, MATCH(orders!$D653,products!$A$1:$A$49,0), MATCH(J$1,products!$A$1:$G$1,0))</f>
        <v>L</v>
      </c>
      <c r="K653" s="4">
        <f>INDEX(products!$A$1:$G$49, MATCH(orders!$D653,products!$A$1:$A$49,0), MATCH(K$1,products!$A$1:$G$1,0))</f>
        <v>1</v>
      </c>
      <c r="L653" s="5">
        <f>INDEX(products!$A$1:$G$49, MATCH(orders!$D653,products!$A$1:$A$49,0), MATCH(L$1,products!$A$1:$G$1,0))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 = 0, "", _xlfn.XLOOKUP(C654,customers!$A$1:$A$1001,customers!$C$1:$C$1001,,0))</f>
        <v>rzywickii4@ifeng.com</v>
      </c>
      <c r="H654" s="2" t="str">
        <f>_xlfn.XLOOKUP(C654,customers!$A$1:$A$1001,customers!$G$1:$G$1001,,0)</f>
        <v>Ireland</v>
      </c>
      <c r="I654" t="str">
        <f>INDEX(products!$A$1:$G$49, MATCH(orders!$D654,products!$A$1:$A$49,0), MATCH(I$1,products!$A$1:$G$1,0))</f>
        <v>Lib</v>
      </c>
      <c r="J654" t="str">
        <f>INDEX(products!$A$1:$G$49, MATCH(orders!$D654,products!$A$1:$A$49,0), MATCH(J$1,products!$A$1:$G$1,0))</f>
        <v>L</v>
      </c>
      <c r="K654" s="4">
        <f>INDEX(products!$A$1:$G$49, MATCH(orders!$D654,products!$A$1:$A$49,0), MATCH(K$1,products!$A$1:$G$1,0))</f>
        <v>1</v>
      </c>
      <c r="L654" s="5">
        <f>INDEX(products!$A$1:$G$49, MATCH(orders!$D654,products!$A$1:$A$49,0), MATCH(L$1,products!$A$1:$G$1,0))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 = 0, "", _xlfn.XLOOKUP(C655,customers!$A$1:$A$1001,customers!$C$1:$C$1001,,0))</f>
        <v>aburgetti5@moonfruit.com</v>
      </c>
      <c r="H655" s="2" t="str">
        <f>_xlfn.XLOOKUP(C655,customers!$A$1:$A$1001,customers!$G$1:$G$1001,,0)</f>
        <v>United States</v>
      </c>
      <c r="I655" t="str">
        <f>INDEX(products!$A$1:$G$49, MATCH(orders!$D655,products!$A$1:$A$49,0), MATCH(I$1,products!$A$1:$G$1,0))</f>
        <v>Ara</v>
      </c>
      <c r="J655" t="str">
        <f>INDEX(products!$A$1:$G$49, MATCH(orders!$D655,products!$A$1:$A$49,0), MATCH(J$1,products!$A$1:$G$1,0))</f>
        <v>M</v>
      </c>
      <c r="K655" s="4">
        <f>INDEX(products!$A$1:$G$49, MATCH(orders!$D655,products!$A$1:$A$49,0), MATCH(K$1,products!$A$1:$G$1,0))</f>
        <v>2.5</v>
      </c>
      <c r="L655" s="5">
        <f>INDEX(products!$A$1:$G$49, MATCH(orders!$D655,products!$A$1:$A$49,0), MATCH(L$1,products!$A$1:$G$1,0))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 = 0, "", _xlfn.XLOOKUP(C656,customers!$A$1:$A$1001,customers!$C$1:$C$1001,,0))</f>
        <v>mmalloyi6@seattletimes.com</v>
      </c>
      <c r="H656" s="2" t="str">
        <f>_xlfn.XLOOKUP(C656,customers!$A$1:$A$1001,customers!$G$1:$G$1001,,0)</f>
        <v>United States</v>
      </c>
      <c r="I656" t="str">
        <f>INDEX(products!$A$1:$G$49, MATCH(orders!$D656,products!$A$1:$A$49,0), MATCH(I$1,products!$A$1:$G$1,0))</f>
        <v>Ara</v>
      </c>
      <c r="J656" t="str">
        <f>INDEX(products!$A$1:$G$49, MATCH(orders!$D656,products!$A$1:$A$49,0), MATCH(J$1,products!$A$1:$G$1,0))</f>
        <v>D</v>
      </c>
      <c r="K656" s="4">
        <f>INDEX(products!$A$1:$G$49, MATCH(orders!$D656,products!$A$1:$A$49,0), MATCH(K$1,products!$A$1:$G$1,0))</f>
        <v>2.5</v>
      </c>
      <c r="L656" s="5">
        <f>INDEX(products!$A$1:$G$49, MATCH(orders!$D656,products!$A$1:$A$49,0), MATCH(L$1,products!$A$1:$G$1,0))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 = 0, "", _xlfn.XLOOKUP(C657,customers!$A$1:$A$1001,customers!$C$1:$C$1001,,0))</f>
        <v>mmcparlandi7@w3.org</v>
      </c>
      <c r="H657" s="2" t="str">
        <f>_xlfn.XLOOKUP(C657,customers!$A$1:$A$1001,customers!$G$1:$G$1001,,0)</f>
        <v>United States</v>
      </c>
      <c r="I657" t="str">
        <f>INDEX(products!$A$1:$G$49, MATCH(orders!$D657,products!$A$1:$A$49,0), MATCH(I$1,products!$A$1:$G$1,0))</f>
        <v>Rob</v>
      </c>
      <c r="J657" t="str">
        <f>INDEX(products!$A$1:$G$49, MATCH(orders!$D657,products!$A$1:$A$49,0), MATCH(J$1,products!$A$1:$G$1,0))</f>
        <v>M</v>
      </c>
      <c r="K657" s="4">
        <f>INDEX(products!$A$1:$G$49, MATCH(orders!$D657,products!$A$1:$A$49,0), MATCH(K$1,products!$A$1:$G$1,0))</f>
        <v>2.5</v>
      </c>
      <c r="L657" s="5">
        <f>INDEX(products!$A$1:$G$49, MATCH(orders!$D657,products!$A$1:$A$49,0), MATCH(L$1,products!$A$1:$G$1,0))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 = 0, "", _xlfn.XLOOKUP(C658,customers!$A$1:$A$1001,customers!$C$1:$C$1001,,0))</f>
        <v>sjennaroyi8@purevolume.com</v>
      </c>
      <c r="H658" s="2" t="str">
        <f>_xlfn.XLOOKUP(C658,customers!$A$1:$A$1001,customers!$G$1:$G$1001,,0)</f>
        <v>United States</v>
      </c>
      <c r="I658" t="str">
        <f>INDEX(products!$A$1:$G$49, MATCH(orders!$D658,products!$A$1:$A$49,0), MATCH(I$1,products!$A$1:$G$1,0))</f>
        <v>Lib</v>
      </c>
      <c r="J658" t="str">
        <f>INDEX(products!$A$1:$G$49, MATCH(orders!$D658,products!$A$1:$A$49,0), MATCH(J$1,products!$A$1:$G$1,0))</f>
        <v>D</v>
      </c>
      <c r="K658" s="4">
        <f>INDEX(products!$A$1:$G$49, MATCH(orders!$D658,products!$A$1:$A$49,0), MATCH(K$1,products!$A$1:$G$1,0))</f>
        <v>1</v>
      </c>
      <c r="L658" s="5">
        <f>INDEX(products!$A$1:$G$49, MATCH(orders!$D658,products!$A$1:$A$49,0), MATCH(L$1,products!$A$1:$G$1,0))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 = 0, "", _xlfn.XLOOKUP(C659,customers!$A$1:$A$1001,customers!$C$1:$C$1001,,0))</f>
        <v>wplacei9@wsj.com</v>
      </c>
      <c r="H659" s="2" t="str">
        <f>_xlfn.XLOOKUP(C659,customers!$A$1:$A$1001,customers!$G$1:$G$1001,,0)</f>
        <v>United States</v>
      </c>
      <c r="I659" t="str">
        <f>INDEX(products!$A$1:$G$49, MATCH(orders!$D659,products!$A$1:$A$49,0), MATCH(I$1,products!$A$1:$G$1,0))</f>
        <v>Ara</v>
      </c>
      <c r="J659" t="str">
        <f>INDEX(products!$A$1:$G$49, MATCH(orders!$D659,products!$A$1:$A$49,0), MATCH(J$1,products!$A$1:$G$1,0))</f>
        <v>M</v>
      </c>
      <c r="K659" s="4">
        <f>INDEX(products!$A$1:$G$49, MATCH(orders!$D659,products!$A$1:$A$49,0), MATCH(K$1,products!$A$1:$G$1,0))</f>
        <v>0.5</v>
      </c>
      <c r="L659" s="5">
        <f>INDEX(products!$A$1:$G$49, MATCH(orders!$D659,products!$A$1:$A$49,0), MATCH(L$1,products!$A$1:$G$1,0))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 = 0, "", _xlfn.XLOOKUP(C660,customers!$A$1:$A$1001,customers!$C$1:$C$1001,,0))</f>
        <v>jmillettik@addtoany.com</v>
      </c>
      <c r="H660" s="2" t="str">
        <f>_xlfn.XLOOKUP(C660,customers!$A$1:$A$1001,customers!$G$1:$G$1001,,0)</f>
        <v>United States</v>
      </c>
      <c r="I660" t="str">
        <f>INDEX(products!$A$1:$G$49, MATCH(orders!$D660,products!$A$1:$A$49,0), MATCH(I$1,products!$A$1:$G$1,0))</f>
        <v>Exc</v>
      </c>
      <c r="J660" t="str">
        <f>INDEX(products!$A$1:$G$49, MATCH(orders!$D660,products!$A$1:$A$49,0), MATCH(J$1,products!$A$1:$G$1,0))</f>
        <v>M</v>
      </c>
      <c r="K660" s="4">
        <f>INDEX(products!$A$1:$G$49, MATCH(orders!$D660,products!$A$1:$A$49,0), MATCH(K$1,products!$A$1:$G$1,0))</f>
        <v>0.5</v>
      </c>
      <c r="L660" s="5">
        <f>INDEX(products!$A$1:$G$49, MATCH(orders!$D660,products!$A$1:$A$49,0), MATCH(L$1,products!$A$1:$G$1,0))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 = 0, "", _xlfn.XLOOKUP(C661,customers!$A$1:$A$1001,customers!$C$1:$C$1001,,0))</f>
        <v>dgadsdenib@google.com.hk</v>
      </c>
      <c r="H661" s="2" t="str">
        <f>_xlfn.XLOOKUP(C661,customers!$A$1:$A$1001,customers!$G$1:$G$1001,,0)</f>
        <v>Ireland</v>
      </c>
      <c r="I661" t="str">
        <f>INDEX(products!$A$1:$G$49, MATCH(orders!$D661,products!$A$1:$A$49,0), MATCH(I$1,products!$A$1:$G$1,0))</f>
        <v>Ara</v>
      </c>
      <c r="J661" t="str">
        <f>INDEX(products!$A$1:$G$49, MATCH(orders!$D661,products!$A$1:$A$49,0), MATCH(J$1,products!$A$1:$G$1,0))</f>
        <v>D</v>
      </c>
      <c r="K661" s="4">
        <f>INDEX(products!$A$1:$G$49, MATCH(orders!$D661,products!$A$1:$A$49,0), MATCH(K$1,products!$A$1:$G$1,0))</f>
        <v>2.5</v>
      </c>
      <c r="L661" s="5">
        <f>INDEX(products!$A$1:$G$49, MATCH(orders!$D661,products!$A$1:$A$49,0), MATCH(L$1,products!$A$1:$G$1,0))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 = 0, "", _xlfn.XLOOKUP(C662,customers!$A$1:$A$1001,customers!$C$1:$C$1001,,0))</f>
        <v>vwakelinic@unesco.org</v>
      </c>
      <c r="H662" s="2" t="str">
        <f>_xlfn.XLOOKUP(C662,customers!$A$1:$A$1001,customers!$G$1:$G$1001,,0)</f>
        <v>United States</v>
      </c>
      <c r="I662" t="str">
        <f>INDEX(products!$A$1:$G$49, MATCH(orders!$D662,products!$A$1:$A$49,0), MATCH(I$1,products!$A$1:$G$1,0))</f>
        <v>Exc</v>
      </c>
      <c r="J662" t="str">
        <f>INDEX(products!$A$1:$G$49, MATCH(orders!$D662,products!$A$1:$A$49,0), MATCH(J$1,products!$A$1:$G$1,0))</f>
        <v>L</v>
      </c>
      <c r="K662" s="4">
        <f>INDEX(products!$A$1:$G$49, MATCH(orders!$D662,products!$A$1:$A$49,0), MATCH(K$1,products!$A$1:$G$1,0))</f>
        <v>0.5</v>
      </c>
      <c r="L662" s="5">
        <f>INDEX(products!$A$1:$G$49, MATCH(orders!$D662,products!$A$1:$A$49,0), MATCH(L$1,products!$A$1:$G$1,0))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 = 0, "", _xlfn.XLOOKUP(C663,customers!$A$1:$A$1001,customers!$C$1:$C$1001,,0))</f>
        <v>acampsallid@zimbio.com</v>
      </c>
      <c r="H663" s="2" t="str">
        <f>_xlfn.XLOOKUP(C663,customers!$A$1:$A$1001,customers!$G$1:$G$1001,,0)</f>
        <v>United States</v>
      </c>
      <c r="I663" t="str">
        <f>INDEX(products!$A$1:$G$49, MATCH(orders!$D663,products!$A$1:$A$49,0), MATCH(I$1,products!$A$1:$G$1,0))</f>
        <v>Ara</v>
      </c>
      <c r="J663" t="str">
        <f>INDEX(products!$A$1:$G$49, MATCH(orders!$D663,products!$A$1:$A$49,0), MATCH(J$1,products!$A$1:$G$1,0))</f>
        <v>M</v>
      </c>
      <c r="K663" s="4">
        <f>INDEX(products!$A$1:$G$49, MATCH(orders!$D663,products!$A$1:$A$49,0), MATCH(K$1,products!$A$1:$G$1,0))</f>
        <v>0.2</v>
      </c>
      <c r="L663" s="5">
        <f>INDEX(products!$A$1:$G$49, MATCH(orders!$D663,products!$A$1:$A$49,0), MATCH(L$1,products!$A$1:$G$1,0))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 = 0, "", _xlfn.XLOOKUP(C664,customers!$A$1:$A$1001,customers!$C$1:$C$1001,,0))</f>
        <v>smosebyie@stanford.edu</v>
      </c>
      <c r="H664" s="2" t="str">
        <f>_xlfn.XLOOKUP(C664,customers!$A$1:$A$1001,customers!$G$1:$G$1001,,0)</f>
        <v>United States</v>
      </c>
      <c r="I664" t="str">
        <f>INDEX(products!$A$1:$G$49, MATCH(orders!$D664,products!$A$1:$A$49,0), MATCH(I$1,products!$A$1:$G$1,0))</f>
        <v>Lib</v>
      </c>
      <c r="J664" t="str">
        <f>INDEX(products!$A$1:$G$49, MATCH(orders!$D664,products!$A$1:$A$49,0), MATCH(J$1,products!$A$1:$G$1,0))</f>
        <v>D</v>
      </c>
      <c r="K664" s="4">
        <f>INDEX(products!$A$1:$G$49, MATCH(orders!$D664,products!$A$1:$A$49,0), MATCH(K$1,products!$A$1:$G$1,0))</f>
        <v>2.5</v>
      </c>
      <c r="L664" s="5">
        <f>INDEX(products!$A$1:$G$49, MATCH(orders!$D664,products!$A$1:$A$49,0), MATCH(L$1,products!$A$1:$G$1,0))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 = 0, "", _xlfn.XLOOKUP(C665,customers!$A$1:$A$1001,customers!$C$1:$C$1001,,0))</f>
        <v>cwassif@prweb.com</v>
      </c>
      <c r="H665" s="2" t="str">
        <f>_xlfn.XLOOKUP(C665,customers!$A$1:$A$1001,customers!$G$1:$G$1001,,0)</f>
        <v>United States</v>
      </c>
      <c r="I665" t="str">
        <f>INDEX(products!$A$1:$G$49, MATCH(orders!$D665,products!$A$1:$A$49,0), MATCH(I$1,products!$A$1:$G$1,0))</f>
        <v>Ara</v>
      </c>
      <c r="J665" t="str">
        <f>INDEX(products!$A$1:$G$49, MATCH(orders!$D665,products!$A$1:$A$49,0), MATCH(J$1,products!$A$1:$G$1,0))</f>
        <v>M</v>
      </c>
      <c r="K665" s="4">
        <f>INDEX(products!$A$1:$G$49, MATCH(orders!$D665,products!$A$1:$A$49,0), MATCH(K$1,products!$A$1:$G$1,0))</f>
        <v>1</v>
      </c>
      <c r="L665" s="5">
        <f>INDEX(products!$A$1:$G$49, MATCH(orders!$D665,products!$A$1:$A$49,0), MATCH(L$1,products!$A$1:$G$1,0))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 = 0, "", _xlfn.XLOOKUP(C666,customers!$A$1:$A$1001,customers!$C$1:$C$1001,,0))</f>
        <v>isjostromig@pbs.org</v>
      </c>
      <c r="H666" s="2" t="str">
        <f>_xlfn.XLOOKUP(C666,customers!$A$1:$A$1001,customers!$G$1:$G$1001,,0)</f>
        <v>United States</v>
      </c>
      <c r="I666" t="str">
        <f>INDEX(products!$A$1:$G$49, MATCH(orders!$D666,products!$A$1:$A$49,0), MATCH(I$1,products!$A$1:$G$1,0))</f>
        <v>Exc</v>
      </c>
      <c r="J666" t="str">
        <f>INDEX(products!$A$1:$G$49, MATCH(orders!$D666,products!$A$1:$A$49,0), MATCH(J$1,products!$A$1:$G$1,0))</f>
        <v>D</v>
      </c>
      <c r="K666" s="4">
        <f>INDEX(products!$A$1:$G$49, MATCH(orders!$D666,products!$A$1:$A$49,0), MATCH(K$1,products!$A$1:$G$1,0))</f>
        <v>1</v>
      </c>
      <c r="L666" s="5">
        <f>INDEX(products!$A$1:$G$49, MATCH(orders!$D666,products!$A$1:$A$49,0), MATCH(L$1,products!$A$1:$G$1,0))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 = 0, "", _xlfn.XLOOKUP(C667,customers!$A$1:$A$1001,customers!$C$1:$C$1001,,0))</f>
        <v>isjostromig@pbs.org</v>
      </c>
      <c r="H667" s="2" t="str">
        <f>_xlfn.XLOOKUP(C667,customers!$A$1:$A$1001,customers!$G$1:$G$1001,,0)</f>
        <v>United States</v>
      </c>
      <c r="I667" t="str">
        <f>INDEX(products!$A$1:$G$49, MATCH(orders!$D667,products!$A$1:$A$49,0), MATCH(I$1,products!$A$1:$G$1,0))</f>
        <v>Lib</v>
      </c>
      <c r="J667" t="str">
        <f>INDEX(products!$A$1:$G$49, MATCH(orders!$D667,products!$A$1:$A$49,0), MATCH(J$1,products!$A$1:$G$1,0))</f>
        <v>D</v>
      </c>
      <c r="K667" s="4">
        <f>INDEX(products!$A$1:$G$49, MATCH(orders!$D667,products!$A$1:$A$49,0), MATCH(K$1,products!$A$1:$G$1,0))</f>
        <v>0.2</v>
      </c>
      <c r="L667" s="5">
        <f>INDEX(products!$A$1:$G$49, MATCH(orders!$D667,products!$A$1:$A$49,0), MATCH(L$1,products!$A$1:$G$1,0))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 = 0, "", _xlfn.XLOOKUP(C668,customers!$A$1:$A$1001,customers!$C$1:$C$1001,,0))</f>
        <v>jbranchettii@bravesites.com</v>
      </c>
      <c r="H668" s="2" t="str">
        <f>_xlfn.XLOOKUP(C668,customers!$A$1:$A$1001,customers!$G$1:$G$1001,,0)</f>
        <v>United States</v>
      </c>
      <c r="I668" t="str">
        <f>INDEX(products!$A$1:$G$49, MATCH(orders!$D668,products!$A$1:$A$49,0), MATCH(I$1,products!$A$1:$G$1,0))</f>
        <v>Ara</v>
      </c>
      <c r="J668" t="str">
        <f>INDEX(products!$A$1:$G$49, MATCH(orders!$D668,products!$A$1:$A$49,0), MATCH(J$1,products!$A$1:$G$1,0))</f>
        <v>D</v>
      </c>
      <c r="K668" s="4">
        <f>INDEX(products!$A$1:$G$49, MATCH(orders!$D668,products!$A$1:$A$49,0), MATCH(K$1,products!$A$1:$G$1,0))</f>
        <v>2.5</v>
      </c>
      <c r="L668" s="5">
        <f>INDEX(products!$A$1:$G$49, MATCH(orders!$D668,products!$A$1:$A$49,0), MATCH(L$1,products!$A$1:$G$1,0))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 = 0, "", _xlfn.XLOOKUP(C669,customers!$A$1:$A$1001,customers!$C$1:$C$1001,,0))</f>
        <v>nrudlandij@blogs.com</v>
      </c>
      <c r="H669" s="2" t="str">
        <f>_xlfn.XLOOKUP(C669,customers!$A$1:$A$1001,customers!$G$1:$G$1001,,0)</f>
        <v>Ireland</v>
      </c>
      <c r="I669" t="str">
        <f>INDEX(products!$A$1:$G$49, MATCH(orders!$D669,products!$A$1:$A$49,0), MATCH(I$1,products!$A$1:$G$1,0))</f>
        <v>Ara</v>
      </c>
      <c r="J669" t="str">
        <f>INDEX(products!$A$1:$G$49, MATCH(orders!$D669,products!$A$1:$A$49,0), MATCH(J$1,products!$A$1:$G$1,0))</f>
        <v>D</v>
      </c>
      <c r="K669" s="4">
        <f>INDEX(products!$A$1:$G$49, MATCH(orders!$D669,products!$A$1:$A$49,0), MATCH(K$1,products!$A$1:$G$1,0))</f>
        <v>1</v>
      </c>
      <c r="L669" s="5">
        <f>INDEX(products!$A$1:$G$49, MATCH(orders!$D669,products!$A$1:$A$49,0), MATCH(L$1,products!$A$1:$G$1,0))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 = 0, "", _xlfn.XLOOKUP(C670,customers!$A$1:$A$1001,customers!$C$1:$C$1001,,0))</f>
        <v>jmillettik@addtoany.com</v>
      </c>
      <c r="H670" s="2" t="str">
        <f>_xlfn.XLOOKUP(C670,customers!$A$1:$A$1001,customers!$G$1:$G$1001,,0)</f>
        <v>United States</v>
      </c>
      <c r="I670" t="str">
        <f>INDEX(products!$A$1:$G$49, MATCH(orders!$D670,products!$A$1:$A$49,0), MATCH(I$1,products!$A$1:$G$1,0))</f>
        <v>Rob</v>
      </c>
      <c r="J670" t="str">
        <f>INDEX(products!$A$1:$G$49, MATCH(orders!$D670,products!$A$1:$A$49,0), MATCH(J$1,products!$A$1:$G$1,0))</f>
        <v>L</v>
      </c>
      <c r="K670" s="4">
        <f>INDEX(products!$A$1:$G$49, MATCH(orders!$D670,products!$A$1:$A$49,0), MATCH(K$1,products!$A$1:$G$1,0))</f>
        <v>2.5</v>
      </c>
      <c r="L670" s="5">
        <f>INDEX(products!$A$1:$G$49, MATCH(orders!$D670,products!$A$1:$A$49,0), MATCH(L$1,products!$A$1:$G$1,0))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 = 0, "", _xlfn.XLOOKUP(C671,customers!$A$1:$A$1001,customers!$C$1:$C$1001,,0))</f>
        <v>ftourryil@google.de</v>
      </c>
      <c r="H671" s="2" t="str">
        <f>_xlfn.XLOOKUP(C671,customers!$A$1:$A$1001,customers!$G$1:$G$1001,,0)</f>
        <v>United States</v>
      </c>
      <c r="I671" t="str">
        <f>INDEX(products!$A$1:$G$49, MATCH(orders!$D671,products!$A$1:$A$49,0), MATCH(I$1,products!$A$1:$G$1,0))</f>
        <v>Lib</v>
      </c>
      <c r="J671" t="str">
        <f>INDEX(products!$A$1:$G$49, MATCH(orders!$D671,products!$A$1:$A$49,0), MATCH(J$1,products!$A$1:$G$1,0))</f>
        <v>M</v>
      </c>
      <c r="K671" s="4">
        <f>INDEX(products!$A$1:$G$49, MATCH(orders!$D671,products!$A$1:$A$49,0), MATCH(K$1,products!$A$1:$G$1,0))</f>
        <v>2.5</v>
      </c>
      <c r="L671" s="5">
        <f>INDEX(products!$A$1:$G$49, MATCH(orders!$D671,products!$A$1:$A$49,0), MATCH(L$1,products!$A$1:$G$1,0))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 = 0, "", _xlfn.XLOOKUP(C672,customers!$A$1:$A$1001,customers!$C$1:$C$1001,,0))</f>
        <v>cweatherallim@toplist.cz</v>
      </c>
      <c r="H672" s="2" t="str">
        <f>_xlfn.XLOOKUP(C672,customers!$A$1:$A$1001,customers!$G$1:$G$1001,,0)</f>
        <v>United States</v>
      </c>
      <c r="I672" t="str">
        <f>INDEX(products!$A$1:$G$49, MATCH(orders!$D672,products!$A$1:$A$49,0), MATCH(I$1,products!$A$1:$G$1,0))</f>
        <v>Lib</v>
      </c>
      <c r="J672" t="str">
        <f>INDEX(products!$A$1:$G$49, MATCH(orders!$D672,products!$A$1:$A$49,0), MATCH(J$1,products!$A$1:$G$1,0))</f>
        <v>M</v>
      </c>
      <c r="K672" s="4">
        <f>INDEX(products!$A$1:$G$49, MATCH(orders!$D672,products!$A$1:$A$49,0), MATCH(K$1,products!$A$1:$G$1,0))</f>
        <v>0.2</v>
      </c>
      <c r="L672" s="5">
        <f>INDEX(products!$A$1:$G$49, MATCH(orders!$D672,products!$A$1:$A$49,0), MATCH(L$1,products!$A$1:$G$1,0))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 = 0, "", _xlfn.XLOOKUP(C673,customers!$A$1:$A$1001,customers!$C$1:$C$1001,,0))</f>
        <v>gheindrickin@usda.gov</v>
      </c>
      <c r="H673" s="2" t="str">
        <f>_xlfn.XLOOKUP(C673,customers!$A$1:$A$1001,customers!$G$1:$G$1001,,0)</f>
        <v>United States</v>
      </c>
      <c r="I673" t="str">
        <f>INDEX(products!$A$1:$G$49, MATCH(orders!$D673,products!$A$1:$A$49,0), MATCH(I$1,products!$A$1:$G$1,0))</f>
        <v>Rob</v>
      </c>
      <c r="J673" t="str">
        <f>INDEX(products!$A$1:$G$49, MATCH(orders!$D673,products!$A$1:$A$49,0), MATCH(J$1,products!$A$1:$G$1,0))</f>
        <v>L</v>
      </c>
      <c r="K673" s="4">
        <f>INDEX(products!$A$1:$G$49, MATCH(orders!$D673,products!$A$1:$A$49,0), MATCH(K$1,products!$A$1:$G$1,0))</f>
        <v>1</v>
      </c>
      <c r="L673" s="5">
        <f>INDEX(products!$A$1:$G$49, MATCH(orders!$D673,products!$A$1:$A$49,0), MATCH(L$1,products!$A$1:$G$1,0))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 = 0, "", _xlfn.XLOOKUP(C674,customers!$A$1:$A$1001,customers!$C$1:$C$1001,,0))</f>
        <v>limasonio@discuz.net</v>
      </c>
      <c r="H674" s="2" t="str">
        <f>_xlfn.XLOOKUP(C674,customers!$A$1:$A$1001,customers!$G$1:$G$1001,,0)</f>
        <v>United States</v>
      </c>
      <c r="I674" t="str">
        <f>INDEX(products!$A$1:$G$49, MATCH(orders!$D674,products!$A$1:$A$49,0), MATCH(I$1,products!$A$1:$G$1,0))</f>
        <v>Lib</v>
      </c>
      <c r="J674" t="str">
        <f>INDEX(products!$A$1:$G$49, MATCH(orders!$D674,products!$A$1:$A$49,0), MATCH(J$1,products!$A$1:$G$1,0))</f>
        <v>M</v>
      </c>
      <c r="K674" s="4">
        <f>INDEX(products!$A$1:$G$49, MATCH(orders!$D674,products!$A$1:$A$49,0), MATCH(K$1,products!$A$1:$G$1,0))</f>
        <v>0.5</v>
      </c>
      <c r="L674" s="5">
        <f>INDEX(products!$A$1:$G$49, MATCH(orders!$D674,products!$A$1:$A$49,0), MATCH(L$1,products!$A$1:$G$1,0))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 = 0, "", _xlfn.XLOOKUP(C675,customers!$A$1:$A$1001,customers!$C$1:$C$1001,,0))</f>
        <v>hsaillip@odnoklassniki.ru</v>
      </c>
      <c r="H675" s="2" t="str">
        <f>_xlfn.XLOOKUP(C675,customers!$A$1:$A$1001,customers!$G$1:$G$1001,,0)</f>
        <v>United States</v>
      </c>
      <c r="I675" t="str">
        <f>INDEX(products!$A$1:$G$49, MATCH(orders!$D675,products!$A$1:$A$49,0), MATCH(I$1,products!$A$1:$G$1,0))</f>
        <v>Exc</v>
      </c>
      <c r="J675" t="str">
        <f>INDEX(products!$A$1:$G$49, MATCH(orders!$D675,products!$A$1:$A$49,0), MATCH(J$1,products!$A$1:$G$1,0))</f>
        <v>M</v>
      </c>
      <c r="K675" s="4">
        <f>INDEX(products!$A$1:$G$49, MATCH(orders!$D675,products!$A$1:$A$49,0), MATCH(K$1,products!$A$1:$G$1,0))</f>
        <v>1</v>
      </c>
      <c r="L675" s="5">
        <f>INDEX(products!$A$1:$G$49, MATCH(orders!$D675,products!$A$1:$A$49,0), MATCH(L$1,products!$A$1:$G$1,0))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 = 0, "", _xlfn.XLOOKUP(C676,customers!$A$1:$A$1001,customers!$C$1:$C$1001,,0))</f>
        <v>hlarvoriq@last.fm</v>
      </c>
      <c r="H676" s="2" t="str">
        <f>_xlfn.XLOOKUP(C676,customers!$A$1:$A$1001,customers!$G$1:$G$1001,,0)</f>
        <v>United States</v>
      </c>
      <c r="I676" t="str">
        <f>INDEX(products!$A$1:$G$49, MATCH(orders!$D676,products!$A$1:$A$49,0), MATCH(I$1,products!$A$1:$G$1,0))</f>
        <v>Ara</v>
      </c>
      <c r="J676" t="str">
        <f>INDEX(products!$A$1:$G$49, MATCH(orders!$D676,products!$A$1:$A$49,0), MATCH(J$1,products!$A$1:$G$1,0))</f>
        <v>L</v>
      </c>
      <c r="K676" s="4">
        <f>INDEX(products!$A$1:$G$49, MATCH(orders!$D676,products!$A$1:$A$49,0), MATCH(K$1,products!$A$1:$G$1,0))</f>
        <v>2.5</v>
      </c>
      <c r="L676" s="5">
        <f>INDEX(products!$A$1:$G$49, MATCH(orders!$D676,products!$A$1:$A$49,0), MATCH(L$1,products!$A$1:$G$1,0))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 = 0, "", _xlfn.XLOOKUP(C677,customers!$A$1:$A$1001,customers!$C$1:$C$1001,,0))</f>
        <v/>
      </c>
      <c r="H677" s="2" t="str">
        <f>_xlfn.XLOOKUP(C677,customers!$A$1:$A$1001,customers!$G$1:$G$1001,,0)</f>
        <v>United States</v>
      </c>
      <c r="I677" t="str">
        <f>INDEX(products!$A$1:$G$49, MATCH(orders!$D677,products!$A$1:$A$49,0), MATCH(I$1,products!$A$1:$G$1,0))</f>
        <v>Lib</v>
      </c>
      <c r="J677" t="str">
        <f>INDEX(products!$A$1:$G$49, MATCH(orders!$D677,products!$A$1:$A$49,0), MATCH(J$1,products!$A$1:$G$1,0))</f>
        <v>D</v>
      </c>
      <c r="K677" s="4">
        <f>INDEX(products!$A$1:$G$49, MATCH(orders!$D677,products!$A$1:$A$49,0), MATCH(K$1,products!$A$1:$G$1,0))</f>
        <v>2.5</v>
      </c>
      <c r="L677" s="5">
        <f>INDEX(products!$A$1:$G$49, MATCH(orders!$D677,products!$A$1:$A$49,0), MATCH(L$1,products!$A$1:$G$1,0))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 = 0, "", _xlfn.XLOOKUP(C678,customers!$A$1:$A$1001,customers!$C$1:$C$1001,,0))</f>
        <v/>
      </c>
      <c r="H678" s="2" t="str">
        <f>_xlfn.XLOOKUP(C678,customers!$A$1:$A$1001,customers!$G$1:$G$1001,,0)</f>
        <v>United States</v>
      </c>
      <c r="I678" t="str">
        <f>INDEX(products!$A$1:$G$49, MATCH(orders!$D678,products!$A$1:$A$49,0), MATCH(I$1,products!$A$1:$G$1,0))</f>
        <v>Lib</v>
      </c>
      <c r="J678" t="str">
        <f>INDEX(products!$A$1:$G$49, MATCH(orders!$D678,products!$A$1:$A$49,0), MATCH(J$1,products!$A$1:$G$1,0))</f>
        <v>L</v>
      </c>
      <c r="K678" s="4">
        <f>INDEX(products!$A$1:$G$49, MATCH(orders!$D678,products!$A$1:$A$49,0), MATCH(K$1,products!$A$1:$G$1,0))</f>
        <v>0.5</v>
      </c>
      <c r="L678" s="5">
        <f>INDEX(products!$A$1:$G$49, MATCH(orders!$D678,products!$A$1:$A$49,0), MATCH(L$1,products!$A$1:$G$1,0))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 = 0, "", _xlfn.XLOOKUP(C679,customers!$A$1:$A$1001,customers!$C$1:$C$1001,,0))</f>
        <v>cpenwardenit@mlb.com</v>
      </c>
      <c r="H679" s="2" t="str">
        <f>_xlfn.XLOOKUP(C679,customers!$A$1:$A$1001,customers!$G$1:$G$1001,,0)</f>
        <v>Ireland</v>
      </c>
      <c r="I679" t="str">
        <f>INDEX(products!$A$1:$G$49, MATCH(orders!$D679,products!$A$1:$A$49,0), MATCH(I$1,products!$A$1:$G$1,0))</f>
        <v>Lib</v>
      </c>
      <c r="J679" t="str">
        <f>INDEX(products!$A$1:$G$49, MATCH(orders!$D679,products!$A$1:$A$49,0), MATCH(J$1,products!$A$1:$G$1,0))</f>
        <v>M</v>
      </c>
      <c r="K679" s="4">
        <f>INDEX(products!$A$1:$G$49, MATCH(orders!$D679,products!$A$1:$A$49,0), MATCH(K$1,products!$A$1:$G$1,0))</f>
        <v>0.5</v>
      </c>
      <c r="L679" s="5">
        <f>INDEX(products!$A$1:$G$49, MATCH(orders!$D679,products!$A$1:$A$49,0), MATCH(L$1,products!$A$1:$G$1,0))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 = 0, "", _xlfn.XLOOKUP(C680,customers!$A$1:$A$1001,customers!$C$1:$C$1001,,0))</f>
        <v>mmiddisiu@dmoz.org</v>
      </c>
      <c r="H680" s="2" t="str">
        <f>_xlfn.XLOOKUP(C680,customers!$A$1:$A$1001,customers!$G$1:$G$1001,,0)</f>
        <v>United States</v>
      </c>
      <c r="I680" t="str">
        <f>INDEX(products!$A$1:$G$49, MATCH(orders!$D680,products!$A$1:$A$49,0), MATCH(I$1,products!$A$1:$G$1,0))</f>
        <v>Ara</v>
      </c>
      <c r="J680" t="str">
        <f>INDEX(products!$A$1:$G$49, MATCH(orders!$D680,products!$A$1:$A$49,0), MATCH(J$1,products!$A$1:$G$1,0))</f>
        <v>L</v>
      </c>
      <c r="K680" s="4">
        <f>INDEX(products!$A$1:$G$49, MATCH(orders!$D680,products!$A$1:$A$49,0), MATCH(K$1,products!$A$1:$G$1,0))</f>
        <v>2.5</v>
      </c>
      <c r="L680" s="5">
        <f>INDEX(products!$A$1:$G$49, MATCH(orders!$D680,products!$A$1:$A$49,0), MATCH(L$1,products!$A$1:$G$1,0))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 = 0, "", _xlfn.XLOOKUP(C681,customers!$A$1:$A$1001,customers!$C$1:$C$1001,,0))</f>
        <v>avairowiv@studiopress.com</v>
      </c>
      <c r="H681" s="2" t="str">
        <f>_xlfn.XLOOKUP(C681,customers!$A$1:$A$1001,customers!$G$1:$G$1001,,0)</f>
        <v>United Kingdom</v>
      </c>
      <c r="I681" t="str">
        <f>INDEX(products!$A$1:$G$49, MATCH(orders!$D681,products!$A$1:$A$49,0), MATCH(I$1,products!$A$1:$G$1,0))</f>
        <v>Rob</v>
      </c>
      <c r="J681" t="str">
        <f>INDEX(products!$A$1:$G$49, MATCH(orders!$D681,products!$A$1:$A$49,0), MATCH(J$1,products!$A$1:$G$1,0))</f>
        <v>L</v>
      </c>
      <c r="K681" s="4">
        <f>INDEX(products!$A$1:$G$49, MATCH(orders!$D681,products!$A$1:$A$49,0), MATCH(K$1,products!$A$1:$G$1,0))</f>
        <v>2.5</v>
      </c>
      <c r="L681" s="5">
        <f>INDEX(products!$A$1:$G$49, MATCH(orders!$D681,products!$A$1:$A$49,0), MATCH(L$1,products!$A$1:$G$1,0))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 = 0, "", _xlfn.XLOOKUP(C682,customers!$A$1:$A$1001,customers!$C$1:$C$1001,,0))</f>
        <v>agoldieiw@goo.gl</v>
      </c>
      <c r="H682" s="2" t="str">
        <f>_xlfn.XLOOKUP(C682,customers!$A$1:$A$1001,customers!$G$1:$G$1001,,0)</f>
        <v>United States</v>
      </c>
      <c r="I682" t="str">
        <f>INDEX(products!$A$1:$G$49, MATCH(orders!$D682,products!$A$1:$A$49,0), MATCH(I$1,products!$A$1:$G$1,0))</f>
        <v>Ara</v>
      </c>
      <c r="J682" t="str">
        <f>INDEX(products!$A$1:$G$49, MATCH(orders!$D682,products!$A$1:$A$49,0), MATCH(J$1,products!$A$1:$G$1,0))</f>
        <v>M</v>
      </c>
      <c r="K682" s="4">
        <f>INDEX(products!$A$1:$G$49, MATCH(orders!$D682,products!$A$1:$A$49,0), MATCH(K$1,products!$A$1:$G$1,0))</f>
        <v>1</v>
      </c>
      <c r="L682" s="5">
        <f>INDEX(products!$A$1:$G$49, MATCH(orders!$D682,products!$A$1:$A$49,0), MATCH(L$1,products!$A$1:$G$1,0))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 = 0, "", _xlfn.XLOOKUP(C683,customers!$A$1:$A$1001,customers!$C$1:$C$1001,,0))</f>
        <v>nayrisix@t-online.de</v>
      </c>
      <c r="H683" s="2" t="str">
        <f>_xlfn.XLOOKUP(C683,customers!$A$1:$A$1001,customers!$G$1:$G$1001,,0)</f>
        <v>United Kingdom</v>
      </c>
      <c r="I683" t="str">
        <f>INDEX(products!$A$1:$G$49, MATCH(orders!$D683,products!$A$1:$A$49,0), MATCH(I$1,products!$A$1:$G$1,0))</f>
        <v>Lib</v>
      </c>
      <c r="J683" t="str">
        <f>INDEX(products!$A$1:$G$49, MATCH(orders!$D683,products!$A$1:$A$49,0), MATCH(J$1,products!$A$1:$G$1,0))</f>
        <v>L</v>
      </c>
      <c r="K683" s="4">
        <f>INDEX(products!$A$1:$G$49, MATCH(orders!$D683,products!$A$1:$A$49,0), MATCH(K$1,products!$A$1:$G$1,0))</f>
        <v>0.2</v>
      </c>
      <c r="L683" s="5">
        <f>INDEX(products!$A$1:$G$49, MATCH(orders!$D683,products!$A$1:$A$49,0), MATCH(L$1,products!$A$1:$G$1,0))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 = 0, "", _xlfn.XLOOKUP(C684,customers!$A$1:$A$1001,customers!$C$1:$C$1001,,0))</f>
        <v>lbenediktovichiy@wunderground.com</v>
      </c>
      <c r="H684" s="2" t="str">
        <f>_xlfn.XLOOKUP(C684,customers!$A$1:$A$1001,customers!$G$1:$G$1001,,0)</f>
        <v>United States</v>
      </c>
      <c r="I684" t="str">
        <f>INDEX(products!$A$1:$G$49, MATCH(orders!$D684,products!$A$1:$A$49,0), MATCH(I$1,products!$A$1:$G$1,0))</f>
        <v>Exc</v>
      </c>
      <c r="J684" t="str">
        <f>INDEX(products!$A$1:$G$49, MATCH(orders!$D684,products!$A$1:$A$49,0), MATCH(J$1,products!$A$1:$G$1,0))</f>
        <v>M</v>
      </c>
      <c r="K684" s="4">
        <f>INDEX(products!$A$1:$G$49, MATCH(orders!$D684,products!$A$1:$A$49,0), MATCH(K$1,products!$A$1:$G$1,0))</f>
        <v>0.2</v>
      </c>
      <c r="L684" s="5">
        <f>INDEX(products!$A$1:$G$49, MATCH(orders!$D684,products!$A$1:$A$49,0), MATCH(L$1,products!$A$1:$G$1,0))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 = 0, "", _xlfn.XLOOKUP(C685,customers!$A$1:$A$1001,customers!$C$1:$C$1001,,0))</f>
        <v>tjacobovitziz@cbc.ca</v>
      </c>
      <c r="H685" s="2" t="str">
        <f>_xlfn.XLOOKUP(C685,customers!$A$1:$A$1001,customers!$G$1:$G$1001,,0)</f>
        <v>United States</v>
      </c>
      <c r="I685" t="str">
        <f>INDEX(products!$A$1:$G$49, MATCH(orders!$D685,products!$A$1:$A$49,0), MATCH(I$1,products!$A$1:$G$1,0))</f>
        <v>Lib</v>
      </c>
      <c r="J685" t="str">
        <f>INDEX(products!$A$1:$G$49, MATCH(orders!$D685,products!$A$1:$A$49,0), MATCH(J$1,products!$A$1:$G$1,0))</f>
        <v>D</v>
      </c>
      <c r="K685" s="4">
        <f>INDEX(products!$A$1:$G$49, MATCH(orders!$D685,products!$A$1:$A$49,0), MATCH(K$1,products!$A$1:$G$1,0))</f>
        <v>0.5</v>
      </c>
      <c r="L685" s="5">
        <f>INDEX(products!$A$1:$G$49, MATCH(orders!$D685,products!$A$1:$A$49,0), MATCH(L$1,products!$A$1:$G$1,0))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 = 0, "", _xlfn.XLOOKUP(C686,customers!$A$1:$A$1001,customers!$C$1:$C$1001,,0))</f>
        <v/>
      </c>
      <c r="H686" s="2" t="str">
        <f>_xlfn.XLOOKUP(C686,customers!$A$1:$A$1001,customers!$G$1:$G$1001,,0)</f>
        <v>United States</v>
      </c>
      <c r="I686" t="str">
        <f>INDEX(products!$A$1:$G$49, MATCH(orders!$D686,products!$A$1:$A$49,0), MATCH(I$1,products!$A$1:$G$1,0))</f>
        <v>Rob</v>
      </c>
      <c r="J686" t="str">
        <f>INDEX(products!$A$1:$G$49, MATCH(orders!$D686,products!$A$1:$A$49,0), MATCH(J$1,products!$A$1:$G$1,0))</f>
        <v>L</v>
      </c>
      <c r="K686" s="4">
        <f>INDEX(products!$A$1:$G$49, MATCH(orders!$D686,products!$A$1:$A$49,0), MATCH(K$1,products!$A$1:$G$1,0))</f>
        <v>1</v>
      </c>
      <c r="L686" s="5">
        <f>INDEX(products!$A$1:$G$49, MATCH(orders!$D686,products!$A$1:$A$49,0), MATCH(L$1,products!$A$1:$G$1,0))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 = 0, "", _xlfn.XLOOKUP(C687,customers!$A$1:$A$1001,customers!$C$1:$C$1001,,0))</f>
        <v>jdruittj1@feedburner.com</v>
      </c>
      <c r="H687" s="2" t="str">
        <f>_xlfn.XLOOKUP(C687,customers!$A$1:$A$1001,customers!$G$1:$G$1001,,0)</f>
        <v>United States</v>
      </c>
      <c r="I687" t="str">
        <f>INDEX(products!$A$1:$G$49, MATCH(orders!$D687,products!$A$1:$A$49,0), MATCH(I$1,products!$A$1:$G$1,0))</f>
        <v>Lib</v>
      </c>
      <c r="J687" t="str">
        <f>INDEX(products!$A$1:$G$49, MATCH(orders!$D687,products!$A$1:$A$49,0), MATCH(J$1,products!$A$1:$G$1,0))</f>
        <v>L</v>
      </c>
      <c r="K687" s="4">
        <f>INDEX(products!$A$1:$G$49, MATCH(orders!$D687,products!$A$1:$A$49,0), MATCH(K$1,products!$A$1:$G$1,0))</f>
        <v>2.5</v>
      </c>
      <c r="L687" s="5">
        <f>INDEX(products!$A$1:$G$49, MATCH(orders!$D687,products!$A$1:$A$49,0), MATCH(L$1,products!$A$1:$G$1,0))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 = 0, "", _xlfn.XLOOKUP(C688,customers!$A$1:$A$1001,customers!$C$1:$C$1001,,0))</f>
        <v>dshortallj2@wikipedia.org</v>
      </c>
      <c r="H688" s="2" t="str">
        <f>_xlfn.XLOOKUP(C688,customers!$A$1:$A$1001,customers!$G$1:$G$1001,,0)</f>
        <v>United States</v>
      </c>
      <c r="I688" t="str">
        <f>INDEX(products!$A$1:$G$49, MATCH(orders!$D688,products!$A$1:$A$49,0), MATCH(I$1,products!$A$1:$G$1,0))</f>
        <v>Rob</v>
      </c>
      <c r="J688" t="str">
        <f>INDEX(products!$A$1:$G$49, MATCH(orders!$D688,products!$A$1:$A$49,0), MATCH(J$1,products!$A$1:$G$1,0))</f>
        <v>D</v>
      </c>
      <c r="K688" s="4">
        <f>INDEX(products!$A$1:$G$49, MATCH(orders!$D688,products!$A$1:$A$49,0), MATCH(K$1,products!$A$1:$G$1,0))</f>
        <v>0.2</v>
      </c>
      <c r="L688" s="5">
        <f>INDEX(products!$A$1:$G$49, MATCH(orders!$D688,products!$A$1:$A$49,0), MATCH(L$1,products!$A$1:$G$1,0))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 = 0, "", _xlfn.XLOOKUP(C689,customers!$A$1:$A$1001,customers!$C$1:$C$1001,,0))</f>
        <v>wcottierj3@cafepress.com</v>
      </c>
      <c r="H689" s="2" t="str">
        <f>_xlfn.XLOOKUP(C689,customers!$A$1:$A$1001,customers!$G$1:$G$1001,,0)</f>
        <v>United States</v>
      </c>
      <c r="I689" t="str">
        <f>INDEX(products!$A$1:$G$49, MATCH(orders!$D689,products!$A$1:$A$49,0), MATCH(I$1,products!$A$1:$G$1,0))</f>
        <v>Exc</v>
      </c>
      <c r="J689" t="str">
        <f>INDEX(products!$A$1:$G$49, MATCH(orders!$D689,products!$A$1:$A$49,0), MATCH(J$1,products!$A$1:$G$1,0))</f>
        <v>M</v>
      </c>
      <c r="K689" s="4">
        <f>INDEX(products!$A$1:$G$49, MATCH(orders!$D689,products!$A$1:$A$49,0), MATCH(K$1,products!$A$1:$G$1,0))</f>
        <v>0.5</v>
      </c>
      <c r="L689" s="5">
        <f>INDEX(products!$A$1:$G$49, MATCH(orders!$D689,products!$A$1:$A$49,0), MATCH(L$1,products!$A$1:$G$1,0))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 = 0, "", _xlfn.XLOOKUP(C690,customers!$A$1:$A$1001,customers!$C$1:$C$1001,,0))</f>
        <v>kgrinstedj4@google.com.br</v>
      </c>
      <c r="H690" s="2" t="str">
        <f>_xlfn.XLOOKUP(C690,customers!$A$1:$A$1001,customers!$G$1:$G$1001,,0)</f>
        <v>Ireland</v>
      </c>
      <c r="I690" t="str">
        <f>INDEX(products!$A$1:$G$49, MATCH(orders!$D690,products!$A$1:$A$49,0), MATCH(I$1,products!$A$1:$G$1,0))</f>
        <v>Ara</v>
      </c>
      <c r="J690" t="str">
        <f>INDEX(products!$A$1:$G$49, MATCH(orders!$D690,products!$A$1:$A$49,0), MATCH(J$1,products!$A$1:$G$1,0))</f>
        <v>L</v>
      </c>
      <c r="K690" s="4">
        <f>INDEX(products!$A$1:$G$49, MATCH(orders!$D690,products!$A$1:$A$49,0), MATCH(K$1,products!$A$1:$G$1,0))</f>
        <v>1</v>
      </c>
      <c r="L690" s="5">
        <f>INDEX(products!$A$1:$G$49, MATCH(orders!$D690,products!$A$1:$A$49,0), MATCH(L$1,products!$A$1:$G$1,0))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 = 0, "", _xlfn.XLOOKUP(C691,customers!$A$1:$A$1001,customers!$C$1:$C$1001,,0))</f>
        <v>dskynerj5@hubpages.com</v>
      </c>
      <c r="H691" s="2" t="str">
        <f>_xlfn.XLOOKUP(C691,customers!$A$1:$A$1001,customers!$G$1:$G$1001,,0)</f>
        <v>United States</v>
      </c>
      <c r="I691" t="str">
        <f>INDEX(products!$A$1:$G$49, MATCH(orders!$D691,products!$A$1:$A$49,0), MATCH(I$1,products!$A$1:$G$1,0))</f>
        <v>Ara</v>
      </c>
      <c r="J691" t="str">
        <f>INDEX(products!$A$1:$G$49, MATCH(orders!$D691,products!$A$1:$A$49,0), MATCH(J$1,products!$A$1:$G$1,0))</f>
        <v>M</v>
      </c>
      <c r="K691" s="4">
        <f>INDEX(products!$A$1:$G$49, MATCH(orders!$D691,products!$A$1:$A$49,0), MATCH(K$1,products!$A$1:$G$1,0))</f>
        <v>0.5</v>
      </c>
      <c r="L691" s="5">
        <f>INDEX(products!$A$1:$G$49, MATCH(orders!$D691,products!$A$1:$A$49,0), MATCH(L$1,products!$A$1:$G$1,0))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 = 0, "", _xlfn.XLOOKUP(C692,customers!$A$1:$A$1001,customers!$C$1:$C$1001,,0))</f>
        <v/>
      </c>
      <c r="H692" s="2" t="str">
        <f>_xlfn.XLOOKUP(C692,customers!$A$1:$A$1001,customers!$G$1:$G$1001,,0)</f>
        <v>United States</v>
      </c>
      <c r="I692" t="str">
        <f>INDEX(products!$A$1:$G$49, MATCH(orders!$D692,products!$A$1:$A$49,0), MATCH(I$1,products!$A$1:$G$1,0))</f>
        <v>Lib</v>
      </c>
      <c r="J692" t="str">
        <f>INDEX(products!$A$1:$G$49, MATCH(orders!$D692,products!$A$1:$A$49,0), MATCH(J$1,products!$A$1:$G$1,0))</f>
        <v>D</v>
      </c>
      <c r="K692" s="4">
        <f>INDEX(products!$A$1:$G$49, MATCH(orders!$D692,products!$A$1:$A$49,0), MATCH(K$1,products!$A$1:$G$1,0))</f>
        <v>2.5</v>
      </c>
      <c r="L692" s="5">
        <f>INDEX(products!$A$1:$G$49, MATCH(orders!$D692,products!$A$1:$A$49,0), MATCH(L$1,products!$A$1:$G$1,0))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 = 0, "", _xlfn.XLOOKUP(C693,customers!$A$1:$A$1001,customers!$C$1:$C$1001,,0))</f>
        <v>jdymokeje@prnewswire.com</v>
      </c>
      <c r="H693" s="2" t="str">
        <f>_xlfn.XLOOKUP(C693,customers!$A$1:$A$1001,customers!$G$1:$G$1001,,0)</f>
        <v>Ireland</v>
      </c>
      <c r="I693" t="str">
        <f>INDEX(products!$A$1:$G$49, MATCH(orders!$D693,products!$A$1:$A$49,0), MATCH(I$1,products!$A$1:$G$1,0))</f>
        <v>Ara</v>
      </c>
      <c r="J693" t="str">
        <f>INDEX(products!$A$1:$G$49, MATCH(orders!$D693,products!$A$1:$A$49,0), MATCH(J$1,products!$A$1:$G$1,0))</f>
        <v>M</v>
      </c>
      <c r="K693" s="4">
        <f>INDEX(products!$A$1:$G$49, MATCH(orders!$D693,products!$A$1:$A$49,0), MATCH(K$1,products!$A$1:$G$1,0))</f>
        <v>1</v>
      </c>
      <c r="L693" s="5">
        <f>INDEX(products!$A$1:$G$49, MATCH(orders!$D693,products!$A$1:$A$49,0), MATCH(L$1,products!$A$1:$G$1,0))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 = 0, "", _xlfn.XLOOKUP(C694,customers!$A$1:$A$1001,customers!$C$1:$C$1001,,0))</f>
        <v>aweinmannj8@shinystat.com</v>
      </c>
      <c r="H694" s="2" t="str">
        <f>_xlfn.XLOOKUP(C694,customers!$A$1:$A$1001,customers!$G$1:$G$1001,,0)</f>
        <v>United States</v>
      </c>
      <c r="I694" t="str">
        <f>INDEX(products!$A$1:$G$49, MATCH(orders!$D694,products!$A$1:$A$49,0), MATCH(I$1,products!$A$1:$G$1,0))</f>
        <v>Lib</v>
      </c>
      <c r="J694" t="str">
        <f>INDEX(products!$A$1:$G$49, MATCH(orders!$D694,products!$A$1:$A$49,0), MATCH(J$1,products!$A$1:$G$1,0))</f>
        <v>D</v>
      </c>
      <c r="K694" s="4">
        <f>INDEX(products!$A$1:$G$49, MATCH(orders!$D694,products!$A$1:$A$49,0), MATCH(K$1,products!$A$1:$G$1,0))</f>
        <v>1</v>
      </c>
      <c r="L694" s="5">
        <f>INDEX(products!$A$1:$G$49, MATCH(orders!$D694,products!$A$1:$A$49,0), MATCH(L$1,products!$A$1:$G$1,0))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 = 0, "", _xlfn.XLOOKUP(C695,customers!$A$1:$A$1001,customers!$C$1:$C$1001,,0))</f>
        <v>eandriessenj9@europa.eu</v>
      </c>
      <c r="H695" s="2" t="str">
        <f>_xlfn.XLOOKUP(C695,customers!$A$1:$A$1001,customers!$G$1:$G$1001,,0)</f>
        <v>United States</v>
      </c>
      <c r="I695" t="str">
        <f>INDEX(products!$A$1:$G$49, MATCH(orders!$D695,products!$A$1:$A$49,0), MATCH(I$1,products!$A$1:$G$1,0))</f>
        <v>Ara</v>
      </c>
      <c r="J695" t="str">
        <f>INDEX(products!$A$1:$G$49, MATCH(orders!$D695,products!$A$1:$A$49,0), MATCH(J$1,products!$A$1:$G$1,0))</f>
        <v>M</v>
      </c>
      <c r="K695" s="4">
        <f>INDEX(products!$A$1:$G$49, MATCH(orders!$D695,products!$A$1:$A$49,0), MATCH(K$1,products!$A$1:$G$1,0))</f>
        <v>2.5</v>
      </c>
      <c r="L695" s="5">
        <f>INDEX(products!$A$1:$G$49, MATCH(orders!$D695,products!$A$1:$A$49,0), MATCH(L$1,products!$A$1:$G$1,0))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 = 0, "", _xlfn.XLOOKUP(C696,customers!$A$1:$A$1001,customers!$C$1:$C$1001,,0))</f>
        <v>rdeaconsonja@archive.org</v>
      </c>
      <c r="H696" s="2" t="str">
        <f>_xlfn.XLOOKUP(C696,customers!$A$1:$A$1001,customers!$G$1:$G$1001,,0)</f>
        <v>United States</v>
      </c>
      <c r="I696" t="str">
        <f>INDEX(products!$A$1:$G$49, MATCH(orders!$D696,products!$A$1:$A$49,0), MATCH(I$1,products!$A$1:$G$1,0))</f>
        <v>Exc</v>
      </c>
      <c r="J696" t="str">
        <f>INDEX(products!$A$1:$G$49, MATCH(orders!$D696,products!$A$1:$A$49,0), MATCH(J$1,products!$A$1:$G$1,0))</f>
        <v>D</v>
      </c>
      <c r="K696" s="4">
        <f>INDEX(products!$A$1:$G$49, MATCH(orders!$D696,products!$A$1:$A$49,0), MATCH(K$1,products!$A$1:$G$1,0))</f>
        <v>0.5</v>
      </c>
      <c r="L696" s="5">
        <f>INDEX(products!$A$1:$G$49, MATCH(orders!$D696,products!$A$1:$A$49,0), MATCH(L$1,products!$A$1:$G$1,0))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 = 0, "", _xlfn.XLOOKUP(C697,customers!$A$1:$A$1001,customers!$C$1:$C$1001,,0))</f>
        <v>dcarojb@twitter.com</v>
      </c>
      <c r="H697" s="2" t="str">
        <f>_xlfn.XLOOKUP(C697,customers!$A$1:$A$1001,customers!$G$1:$G$1001,,0)</f>
        <v>United States</v>
      </c>
      <c r="I697" t="str">
        <f>INDEX(products!$A$1:$G$49, MATCH(orders!$D697,products!$A$1:$A$49,0), MATCH(I$1,products!$A$1:$G$1,0))</f>
        <v>Lib</v>
      </c>
      <c r="J697" t="str">
        <f>INDEX(products!$A$1:$G$49, MATCH(orders!$D697,products!$A$1:$A$49,0), MATCH(J$1,products!$A$1:$G$1,0))</f>
        <v>L</v>
      </c>
      <c r="K697" s="4">
        <f>INDEX(products!$A$1:$G$49, MATCH(orders!$D697,products!$A$1:$A$49,0), MATCH(K$1,products!$A$1:$G$1,0))</f>
        <v>2.5</v>
      </c>
      <c r="L697" s="5">
        <f>INDEX(products!$A$1:$G$49, MATCH(orders!$D697,products!$A$1:$A$49,0), MATCH(L$1,products!$A$1:$G$1,0))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 = 0, "", _xlfn.XLOOKUP(C698,customers!$A$1:$A$1001,customers!$C$1:$C$1001,,0))</f>
        <v>jbluckjc@imageshack.us</v>
      </c>
      <c r="H698" s="2" t="str">
        <f>_xlfn.XLOOKUP(C698,customers!$A$1:$A$1001,customers!$G$1:$G$1001,,0)</f>
        <v>United States</v>
      </c>
      <c r="I698" t="str">
        <f>INDEX(products!$A$1:$G$49, MATCH(orders!$D698,products!$A$1:$A$49,0), MATCH(I$1,products!$A$1:$G$1,0))</f>
        <v>Lib</v>
      </c>
      <c r="J698" t="str">
        <f>INDEX(products!$A$1:$G$49, MATCH(orders!$D698,products!$A$1:$A$49,0), MATCH(J$1,products!$A$1:$G$1,0))</f>
        <v>D</v>
      </c>
      <c r="K698" s="4">
        <f>INDEX(products!$A$1:$G$49, MATCH(orders!$D698,products!$A$1:$A$49,0), MATCH(K$1,products!$A$1:$G$1,0))</f>
        <v>0.5</v>
      </c>
      <c r="L698" s="5">
        <f>INDEX(products!$A$1:$G$49, MATCH(orders!$D698,products!$A$1:$A$49,0), MATCH(L$1,products!$A$1:$G$1,0))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 = 0, "", _xlfn.XLOOKUP(C699,customers!$A$1:$A$1001,customers!$C$1:$C$1001,,0))</f>
        <v/>
      </c>
      <c r="H699" s="2" t="str">
        <f>_xlfn.XLOOKUP(C699,customers!$A$1:$A$1001,customers!$G$1:$G$1001,,0)</f>
        <v>Ireland</v>
      </c>
      <c r="I699" t="str">
        <f>INDEX(products!$A$1:$G$49, MATCH(orders!$D699,products!$A$1:$A$49,0), MATCH(I$1,products!$A$1:$G$1,0))</f>
        <v>Ara</v>
      </c>
      <c r="J699" t="str">
        <f>INDEX(products!$A$1:$G$49, MATCH(orders!$D699,products!$A$1:$A$49,0), MATCH(J$1,products!$A$1:$G$1,0))</f>
        <v>M</v>
      </c>
      <c r="K699" s="4">
        <f>INDEX(products!$A$1:$G$49, MATCH(orders!$D699,products!$A$1:$A$49,0), MATCH(K$1,products!$A$1:$G$1,0))</f>
        <v>0.5</v>
      </c>
      <c r="L699" s="5">
        <f>INDEX(products!$A$1:$G$49, MATCH(orders!$D699,products!$A$1:$A$49,0), MATCH(L$1,products!$A$1:$G$1,0))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 = 0, "", _xlfn.XLOOKUP(C700,customers!$A$1:$A$1001,customers!$C$1:$C$1001,,0))</f>
        <v>jdymokeje@prnewswire.com</v>
      </c>
      <c r="H700" s="2" t="str">
        <f>_xlfn.XLOOKUP(C700,customers!$A$1:$A$1001,customers!$G$1:$G$1001,,0)</f>
        <v>Ireland</v>
      </c>
      <c r="I700" t="str">
        <f>INDEX(products!$A$1:$G$49, MATCH(orders!$D700,products!$A$1:$A$49,0), MATCH(I$1,products!$A$1:$G$1,0))</f>
        <v>Lib</v>
      </c>
      <c r="J700" t="str">
        <f>INDEX(products!$A$1:$G$49, MATCH(orders!$D700,products!$A$1:$A$49,0), MATCH(J$1,products!$A$1:$G$1,0))</f>
        <v>D</v>
      </c>
      <c r="K700" s="4">
        <f>INDEX(products!$A$1:$G$49, MATCH(orders!$D700,products!$A$1:$A$49,0), MATCH(K$1,products!$A$1:$G$1,0))</f>
        <v>1</v>
      </c>
      <c r="L700" s="5">
        <f>INDEX(products!$A$1:$G$49, MATCH(orders!$D700,products!$A$1:$A$49,0), MATCH(L$1,products!$A$1:$G$1,0))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 = 0, "", _xlfn.XLOOKUP(C701,customers!$A$1:$A$1001,customers!$C$1:$C$1001,,0))</f>
        <v>otadmanjf@ft.com</v>
      </c>
      <c r="H701" s="2" t="str">
        <f>_xlfn.XLOOKUP(C701,customers!$A$1:$A$1001,customers!$G$1:$G$1001,,0)</f>
        <v>United States</v>
      </c>
      <c r="I701" t="str">
        <f>INDEX(products!$A$1:$G$49, MATCH(orders!$D701,products!$A$1:$A$49,0), MATCH(I$1,products!$A$1:$G$1,0))</f>
        <v>Ara</v>
      </c>
      <c r="J701" t="str">
        <f>INDEX(products!$A$1:$G$49, MATCH(orders!$D701,products!$A$1:$A$49,0), MATCH(J$1,products!$A$1:$G$1,0))</f>
        <v>D</v>
      </c>
      <c r="K701" s="4">
        <f>INDEX(products!$A$1:$G$49, MATCH(orders!$D701,products!$A$1:$A$49,0), MATCH(K$1,products!$A$1:$G$1,0))</f>
        <v>0.5</v>
      </c>
      <c r="L701" s="5">
        <f>INDEX(products!$A$1:$G$49, MATCH(orders!$D701,products!$A$1:$A$49,0), MATCH(L$1,products!$A$1:$G$1,0))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 = 0, "", _xlfn.XLOOKUP(C702,customers!$A$1:$A$1001,customers!$C$1:$C$1001,,0))</f>
        <v>bguddejg@dailymotion.com</v>
      </c>
      <c r="H702" s="2" t="str">
        <f>_xlfn.XLOOKUP(C702,customers!$A$1:$A$1001,customers!$G$1:$G$1001,,0)</f>
        <v>United States</v>
      </c>
      <c r="I702" t="str">
        <f>INDEX(products!$A$1:$G$49, MATCH(orders!$D702,products!$A$1:$A$49,0), MATCH(I$1,products!$A$1:$G$1,0))</f>
        <v>Lib</v>
      </c>
      <c r="J702" t="str">
        <f>INDEX(products!$A$1:$G$49, MATCH(orders!$D702,products!$A$1:$A$49,0), MATCH(J$1,products!$A$1:$G$1,0))</f>
        <v>L</v>
      </c>
      <c r="K702" s="4">
        <f>INDEX(products!$A$1:$G$49, MATCH(orders!$D702,products!$A$1:$A$49,0), MATCH(K$1,products!$A$1:$G$1,0))</f>
        <v>0.5</v>
      </c>
      <c r="L702" s="5">
        <f>INDEX(products!$A$1:$G$49, MATCH(orders!$D702,products!$A$1:$A$49,0), MATCH(L$1,products!$A$1:$G$1,0))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 = 0, "", _xlfn.XLOOKUP(C703,customers!$A$1:$A$1001,customers!$C$1:$C$1001,,0))</f>
        <v>nsictornesjh@buzzfeed.com</v>
      </c>
      <c r="H703" s="2" t="str">
        <f>_xlfn.XLOOKUP(C703,customers!$A$1:$A$1001,customers!$G$1:$G$1001,,0)</f>
        <v>Ireland</v>
      </c>
      <c r="I703" t="str">
        <f>INDEX(products!$A$1:$G$49, MATCH(orders!$D703,products!$A$1:$A$49,0), MATCH(I$1,products!$A$1:$G$1,0))</f>
        <v>Ara</v>
      </c>
      <c r="J703" t="str">
        <f>INDEX(products!$A$1:$G$49, MATCH(orders!$D703,products!$A$1:$A$49,0), MATCH(J$1,products!$A$1:$G$1,0))</f>
        <v>D</v>
      </c>
      <c r="K703" s="4">
        <f>INDEX(products!$A$1:$G$49, MATCH(orders!$D703,products!$A$1:$A$49,0), MATCH(K$1,products!$A$1:$G$1,0))</f>
        <v>0.5</v>
      </c>
      <c r="L703" s="5">
        <f>INDEX(products!$A$1:$G$49, MATCH(orders!$D703,products!$A$1:$A$49,0), MATCH(L$1,products!$A$1:$G$1,0))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 = 0, "", _xlfn.XLOOKUP(C704,customers!$A$1:$A$1001,customers!$C$1:$C$1001,,0))</f>
        <v>vdunningji@independent.co.uk</v>
      </c>
      <c r="H704" s="2" t="str">
        <f>_xlfn.XLOOKUP(C704,customers!$A$1:$A$1001,customers!$G$1:$G$1001,,0)</f>
        <v>United States</v>
      </c>
      <c r="I704" t="str">
        <f>INDEX(products!$A$1:$G$49, MATCH(orders!$D704,products!$A$1:$A$49,0), MATCH(I$1,products!$A$1:$G$1,0))</f>
        <v>Ara</v>
      </c>
      <c r="J704" t="str">
        <f>INDEX(products!$A$1:$G$49, MATCH(orders!$D704,products!$A$1:$A$49,0), MATCH(J$1,products!$A$1:$G$1,0))</f>
        <v>L</v>
      </c>
      <c r="K704" s="4">
        <f>INDEX(products!$A$1:$G$49, MATCH(orders!$D704,products!$A$1:$A$49,0), MATCH(K$1,products!$A$1:$G$1,0))</f>
        <v>0.5</v>
      </c>
      <c r="L704" s="5">
        <f>INDEX(products!$A$1:$G$49, MATCH(orders!$D704,products!$A$1:$A$49,0), MATCH(L$1,products!$A$1:$G$1,0))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 = 0, "", _xlfn.XLOOKUP(C705,customers!$A$1:$A$1001,customers!$C$1:$C$1001,,0))</f>
        <v/>
      </c>
      <c r="H705" s="2" t="str">
        <f>_xlfn.XLOOKUP(C705,customers!$A$1:$A$1001,customers!$G$1:$G$1001,,0)</f>
        <v>Ireland</v>
      </c>
      <c r="I705" t="str">
        <f>INDEX(products!$A$1:$G$49, MATCH(orders!$D705,products!$A$1:$A$49,0), MATCH(I$1,products!$A$1:$G$1,0))</f>
        <v>Lib</v>
      </c>
      <c r="J705" t="str">
        <f>INDEX(products!$A$1:$G$49, MATCH(orders!$D705,products!$A$1:$A$49,0), MATCH(J$1,products!$A$1:$G$1,0))</f>
        <v>D</v>
      </c>
      <c r="K705" s="4">
        <f>INDEX(products!$A$1:$G$49, MATCH(orders!$D705,products!$A$1:$A$49,0), MATCH(K$1,products!$A$1:$G$1,0))</f>
        <v>2.5</v>
      </c>
      <c r="L705" s="5">
        <f>INDEX(products!$A$1:$G$49, MATCH(orders!$D705,products!$A$1:$A$49,0), MATCH(L$1,products!$A$1:$G$1,0))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 = 0, "", _xlfn.XLOOKUP(C706,customers!$A$1:$A$1001,customers!$C$1:$C$1001,,0))</f>
        <v/>
      </c>
      <c r="H706" s="2" t="str">
        <f>_xlfn.XLOOKUP(C706,customers!$A$1:$A$1001,customers!$G$1:$G$1001,,0)</f>
        <v>United States</v>
      </c>
      <c r="I706" t="str">
        <f>INDEX(products!$A$1:$G$49, MATCH(orders!$D706,products!$A$1:$A$49,0), MATCH(I$1,products!$A$1:$G$1,0))</f>
        <v>Exc</v>
      </c>
      <c r="J706" t="str">
        <f>INDEX(products!$A$1:$G$49, MATCH(orders!$D706,products!$A$1:$A$49,0), MATCH(J$1,products!$A$1:$G$1,0))</f>
        <v>D</v>
      </c>
      <c r="K706" s="4">
        <f>INDEX(products!$A$1:$G$49, MATCH(orders!$D706,products!$A$1:$A$49,0), MATCH(K$1,products!$A$1:$G$1,0))</f>
        <v>0.2</v>
      </c>
      <c r="L706" s="5">
        <f>INDEX(products!$A$1:$G$49, MATCH(orders!$D706,products!$A$1:$A$49,0), MATCH(L$1,products!$A$1:$G$1,0))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 = 0, "", _xlfn.XLOOKUP(C707,customers!$A$1:$A$1001,customers!$C$1:$C$1001,,0))</f>
        <v>sgehringjl@gnu.org</v>
      </c>
      <c r="H707" s="2" t="str">
        <f>_xlfn.XLOOKUP(C707,customers!$A$1:$A$1001,customers!$G$1:$G$1001,,0)</f>
        <v>United States</v>
      </c>
      <c r="I707" t="str">
        <f>INDEX(products!$A$1:$G$49, MATCH(orders!$D707,products!$A$1:$A$49,0), MATCH(I$1,products!$A$1:$G$1,0))</f>
        <v>Exc</v>
      </c>
      <c r="J707" t="str">
        <f>INDEX(products!$A$1:$G$49, MATCH(orders!$D707,products!$A$1:$A$49,0), MATCH(J$1,products!$A$1:$G$1,0))</f>
        <v>L</v>
      </c>
      <c r="K707" s="4">
        <f>INDEX(products!$A$1:$G$49, MATCH(orders!$D707,products!$A$1:$A$49,0), MATCH(K$1,products!$A$1:$G$1,0))</f>
        <v>0.5</v>
      </c>
      <c r="L707" s="5">
        <f>INDEX(products!$A$1:$G$49, MATCH(orders!$D707,products!$A$1:$A$49,0), MATCH(L$1,products!$A$1:$G$1,0))</f>
        <v>8.91</v>
      </c>
      <c r="M707" s="5">
        <f t="shared" ref="M707:M770" si="33">L707*E707</f>
        <v>17.82</v>
      </c>
      <c r="N707" t="str">
        <f t="shared" ref="N707:N770" si="34">IF(I707="Rob", "Robusta", IF(I707 = "Exc", "Excelsa", IF(I707 = "Ara", "Arabica", IF(I707 = "Lib", "Liberica", ""))))</f>
        <v>Excelsa</v>
      </c>
      <c r="O707" t="str">
        <f t="shared" ref="O707:O770" si="35">IF(J707 = "M", "Medium", IF(J707 = "L", "Light", IF( J707 = "D", "Dark", "")))</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 = 0, "", _xlfn.XLOOKUP(C708,customers!$A$1:$A$1001,customers!$C$1:$C$1001,,0))</f>
        <v>bfallowesjm@purevolume.com</v>
      </c>
      <c r="H708" s="2" t="str">
        <f>_xlfn.XLOOKUP(C708,customers!$A$1:$A$1001,customers!$G$1:$G$1001,,0)</f>
        <v>United States</v>
      </c>
      <c r="I708" t="str">
        <f>INDEX(products!$A$1:$G$49, MATCH(orders!$D708,products!$A$1:$A$49,0), MATCH(I$1,products!$A$1:$G$1,0))</f>
        <v>Exc</v>
      </c>
      <c r="J708" t="str">
        <f>INDEX(products!$A$1:$G$49, MATCH(orders!$D708,products!$A$1:$A$49,0), MATCH(J$1,products!$A$1:$G$1,0))</f>
        <v>M</v>
      </c>
      <c r="K708" s="4">
        <f>INDEX(products!$A$1:$G$49, MATCH(orders!$D708,products!$A$1:$A$49,0), MATCH(K$1,products!$A$1:$G$1,0))</f>
        <v>0.2</v>
      </c>
      <c r="L708" s="5">
        <f>INDEX(products!$A$1:$G$49, MATCH(orders!$D708,products!$A$1:$A$49,0), MATCH(L$1,products!$A$1:$G$1,0))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 = 0, "", _xlfn.XLOOKUP(C709,customers!$A$1:$A$1001,customers!$C$1:$C$1001,,0))</f>
        <v/>
      </c>
      <c r="H709" s="2" t="str">
        <f>_xlfn.XLOOKUP(C709,customers!$A$1:$A$1001,customers!$G$1:$G$1001,,0)</f>
        <v>Ireland</v>
      </c>
      <c r="I709" t="str">
        <f>INDEX(products!$A$1:$G$49, MATCH(orders!$D709,products!$A$1:$A$49,0), MATCH(I$1,products!$A$1:$G$1,0))</f>
        <v>Lib</v>
      </c>
      <c r="J709" t="str">
        <f>INDEX(products!$A$1:$G$49, MATCH(orders!$D709,products!$A$1:$A$49,0), MATCH(J$1,products!$A$1:$G$1,0))</f>
        <v>D</v>
      </c>
      <c r="K709" s="4">
        <f>INDEX(products!$A$1:$G$49, MATCH(orders!$D709,products!$A$1:$A$49,0), MATCH(K$1,products!$A$1:$G$1,0))</f>
        <v>1</v>
      </c>
      <c r="L709" s="5">
        <f>INDEX(products!$A$1:$G$49, MATCH(orders!$D709,products!$A$1:$A$49,0), MATCH(L$1,products!$A$1:$G$1,0))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 = 0, "", _xlfn.XLOOKUP(C710,customers!$A$1:$A$1001,customers!$C$1:$C$1001,,0))</f>
        <v>sdejo@newsvine.com</v>
      </c>
      <c r="H710" s="2" t="str">
        <f>_xlfn.XLOOKUP(C710,customers!$A$1:$A$1001,customers!$G$1:$G$1001,,0)</f>
        <v>United States</v>
      </c>
      <c r="I710" t="str">
        <f>INDEX(products!$A$1:$G$49, MATCH(orders!$D710,products!$A$1:$A$49,0), MATCH(I$1,products!$A$1:$G$1,0))</f>
        <v>Ara</v>
      </c>
      <c r="J710" t="str">
        <f>INDEX(products!$A$1:$G$49, MATCH(orders!$D710,products!$A$1:$A$49,0), MATCH(J$1,products!$A$1:$G$1,0))</f>
        <v>M</v>
      </c>
      <c r="K710" s="4">
        <f>INDEX(products!$A$1:$G$49, MATCH(orders!$D710,products!$A$1:$A$49,0), MATCH(K$1,products!$A$1:$G$1,0))</f>
        <v>0.5</v>
      </c>
      <c r="L710" s="5">
        <f>INDEX(products!$A$1:$G$49, MATCH(orders!$D710,products!$A$1:$A$49,0), MATCH(L$1,products!$A$1:$G$1,0))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 = 0, "", _xlfn.XLOOKUP(C711,customers!$A$1:$A$1001,customers!$C$1:$C$1001,,0))</f>
        <v/>
      </c>
      <c r="H711" s="2" t="str">
        <f>_xlfn.XLOOKUP(C711,customers!$A$1:$A$1001,customers!$G$1:$G$1001,,0)</f>
        <v>United States</v>
      </c>
      <c r="I711" t="str">
        <f>INDEX(products!$A$1:$G$49, MATCH(orders!$D711,products!$A$1:$A$49,0), MATCH(I$1,products!$A$1:$G$1,0))</f>
        <v>Exc</v>
      </c>
      <c r="J711" t="str">
        <f>INDEX(products!$A$1:$G$49, MATCH(orders!$D711,products!$A$1:$A$49,0), MATCH(J$1,products!$A$1:$G$1,0))</f>
        <v>L</v>
      </c>
      <c r="K711" s="4">
        <f>INDEX(products!$A$1:$G$49, MATCH(orders!$D711,products!$A$1:$A$49,0), MATCH(K$1,products!$A$1:$G$1,0))</f>
        <v>0.5</v>
      </c>
      <c r="L711" s="5">
        <f>INDEX(products!$A$1:$G$49, MATCH(orders!$D711,products!$A$1:$A$49,0), MATCH(L$1,products!$A$1:$G$1,0))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 = 0, "", _xlfn.XLOOKUP(C712,customers!$A$1:$A$1001,customers!$C$1:$C$1001,,0))</f>
        <v>scountjq@nba.com</v>
      </c>
      <c r="H712" s="2" t="str">
        <f>_xlfn.XLOOKUP(C712,customers!$A$1:$A$1001,customers!$G$1:$G$1001,,0)</f>
        <v>United States</v>
      </c>
      <c r="I712" t="str">
        <f>INDEX(products!$A$1:$G$49, MATCH(orders!$D712,products!$A$1:$A$49,0), MATCH(I$1,products!$A$1:$G$1,0))</f>
        <v>Exc</v>
      </c>
      <c r="J712" t="str">
        <f>INDEX(products!$A$1:$G$49, MATCH(orders!$D712,products!$A$1:$A$49,0), MATCH(J$1,products!$A$1:$G$1,0))</f>
        <v>M</v>
      </c>
      <c r="K712" s="4">
        <f>INDEX(products!$A$1:$G$49, MATCH(orders!$D712,products!$A$1:$A$49,0), MATCH(K$1,products!$A$1:$G$1,0))</f>
        <v>0.5</v>
      </c>
      <c r="L712" s="5">
        <f>INDEX(products!$A$1:$G$49, MATCH(orders!$D712,products!$A$1:$A$49,0), MATCH(L$1,products!$A$1:$G$1,0))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 = 0, "", _xlfn.XLOOKUP(C713,customers!$A$1:$A$1001,customers!$C$1:$C$1001,,0))</f>
        <v>sraglesjr@blogtalkradio.com</v>
      </c>
      <c r="H713" s="2" t="str">
        <f>_xlfn.XLOOKUP(C713,customers!$A$1:$A$1001,customers!$G$1:$G$1001,,0)</f>
        <v>United States</v>
      </c>
      <c r="I713" t="str">
        <f>INDEX(products!$A$1:$G$49, MATCH(orders!$D713,products!$A$1:$A$49,0), MATCH(I$1,products!$A$1:$G$1,0))</f>
        <v>Rob</v>
      </c>
      <c r="J713" t="str">
        <f>INDEX(products!$A$1:$G$49, MATCH(orders!$D713,products!$A$1:$A$49,0), MATCH(J$1,products!$A$1:$G$1,0))</f>
        <v>M</v>
      </c>
      <c r="K713" s="4">
        <f>INDEX(products!$A$1:$G$49, MATCH(orders!$D713,products!$A$1:$A$49,0), MATCH(K$1,products!$A$1:$G$1,0))</f>
        <v>0.2</v>
      </c>
      <c r="L713" s="5">
        <f>INDEX(products!$A$1:$G$49, MATCH(orders!$D713,products!$A$1:$A$49,0), MATCH(L$1,products!$A$1:$G$1,0))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 = 0, "", _xlfn.XLOOKUP(C714,customers!$A$1:$A$1001,customers!$C$1:$C$1001,,0))</f>
        <v/>
      </c>
      <c r="H714" s="2" t="str">
        <f>_xlfn.XLOOKUP(C714,customers!$A$1:$A$1001,customers!$G$1:$G$1001,,0)</f>
        <v>United Kingdom</v>
      </c>
      <c r="I714" t="str">
        <f>INDEX(products!$A$1:$G$49, MATCH(orders!$D714,products!$A$1:$A$49,0), MATCH(I$1,products!$A$1:$G$1,0))</f>
        <v>Exc</v>
      </c>
      <c r="J714" t="str">
        <f>INDEX(products!$A$1:$G$49, MATCH(orders!$D714,products!$A$1:$A$49,0), MATCH(J$1,products!$A$1:$G$1,0))</f>
        <v>M</v>
      </c>
      <c r="K714" s="4">
        <f>INDEX(products!$A$1:$G$49, MATCH(orders!$D714,products!$A$1:$A$49,0), MATCH(K$1,products!$A$1:$G$1,0))</f>
        <v>0.5</v>
      </c>
      <c r="L714" s="5">
        <f>INDEX(products!$A$1:$G$49, MATCH(orders!$D714,products!$A$1:$A$49,0), MATCH(L$1,products!$A$1:$G$1,0))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 = 0, "", _xlfn.XLOOKUP(C715,customers!$A$1:$A$1001,customers!$C$1:$C$1001,,0))</f>
        <v>sbruunjt@blogtalkradio.com</v>
      </c>
      <c r="H715" s="2" t="str">
        <f>_xlfn.XLOOKUP(C715,customers!$A$1:$A$1001,customers!$G$1:$G$1001,,0)</f>
        <v>United States</v>
      </c>
      <c r="I715" t="str">
        <f>INDEX(products!$A$1:$G$49, MATCH(orders!$D715,products!$A$1:$A$49,0), MATCH(I$1,products!$A$1:$G$1,0))</f>
        <v>Rob</v>
      </c>
      <c r="J715" t="str">
        <f>INDEX(products!$A$1:$G$49, MATCH(orders!$D715,products!$A$1:$A$49,0), MATCH(J$1,products!$A$1:$G$1,0))</f>
        <v>M</v>
      </c>
      <c r="K715" s="4">
        <f>INDEX(products!$A$1:$G$49, MATCH(orders!$D715,products!$A$1:$A$49,0), MATCH(K$1,products!$A$1:$G$1,0))</f>
        <v>0.2</v>
      </c>
      <c r="L715" s="5">
        <f>INDEX(products!$A$1:$G$49, MATCH(orders!$D715,products!$A$1:$A$49,0), MATCH(L$1,products!$A$1:$G$1,0))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 = 0, "", _xlfn.XLOOKUP(C716,customers!$A$1:$A$1001,customers!$C$1:$C$1001,,0))</f>
        <v>aplluju@dagondesign.com</v>
      </c>
      <c r="H716" s="2" t="str">
        <f>_xlfn.XLOOKUP(C716,customers!$A$1:$A$1001,customers!$G$1:$G$1001,,0)</f>
        <v>Ireland</v>
      </c>
      <c r="I716" t="str">
        <f>INDEX(products!$A$1:$G$49, MATCH(orders!$D716,products!$A$1:$A$49,0), MATCH(I$1,products!$A$1:$G$1,0))</f>
        <v>Exc</v>
      </c>
      <c r="J716" t="str">
        <f>INDEX(products!$A$1:$G$49, MATCH(orders!$D716,products!$A$1:$A$49,0), MATCH(J$1,products!$A$1:$G$1,0))</f>
        <v>D</v>
      </c>
      <c r="K716" s="4">
        <f>INDEX(products!$A$1:$G$49, MATCH(orders!$D716,products!$A$1:$A$49,0), MATCH(K$1,products!$A$1:$G$1,0))</f>
        <v>0.2</v>
      </c>
      <c r="L716" s="5">
        <f>INDEX(products!$A$1:$G$49, MATCH(orders!$D716,products!$A$1:$A$49,0), MATCH(L$1,products!$A$1:$G$1,0))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 = 0, "", _xlfn.XLOOKUP(C717,customers!$A$1:$A$1001,customers!$C$1:$C$1001,,0))</f>
        <v>gcornierjv@techcrunch.com</v>
      </c>
      <c r="H717" s="2" t="str">
        <f>_xlfn.XLOOKUP(C717,customers!$A$1:$A$1001,customers!$G$1:$G$1001,,0)</f>
        <v>United States</v>
      </c>
      <c r="I717" t="str">
        <f>INDEX(products!$A$1:$G$49, MATCH(orders!$D717,products!$A$1:$A$49,0), MATCH(I$1,products!$A$1:$G$1,0))</f>
        <v>Exc</v>
      </c>
      <c r="J717" t="str">
        <f>INDEX(products!$A$1:$G$49, MATCH(orders!$D717,products!$A$1:$A$49,0), MATCH(J$1,products!$A$1:$G$1,0))</f>
        <v>L</v>
      </c>
      <c r="K717" s="4">
        <f>INDEX(products!$A$1:$G$49, MATCH(orders!$D717,products!$A$1:$A$49,0), MATCH(K$1,products!$A$1:$G$1,0))</f>
        <v>1</v>
      </c>
      <c r="L717" s="5">
        <f>INDEX(products!$A$1:$G$49, MATCH(orders!$D717,products!$A$1:$A$49,0), MATCH(L$1,products!$A$1:$G$1,0))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 = 0, "", _xlfn.XLOOKUP(C718,customers!$A$1:$A$1001,customers!$C$1:$C$1001,,0))</f>
        <v>jdymokeje@prnewswire.com</v>
      </c>
      <c r="H718" s="2" t="str">
        <f>_xlfn.XLOOKUP(C718,customers!$A$1:$A$1001,customers!$G$1:$G$1001,,0)</f>
        <v>Ireland</v>
      </c>
      <c r="I718" t="str">
        <f>INDEX(products!$A$1:$G$49, MATCH(orders!$D718,products!$A$1:$A$49,0), MATCH(I$1,products!$A$1:$G$1,0))</f>
        <v>Rob</v>
      </c>
      <c r="J718" t="str">
        <f>INDEX(products!$A$1:$G$49, MATCH(orders!$D718,products!$A$1:$A$49,0), MATCH(J$1,products!$A$1:$G$1,0))</f>
        <v>L</v>
      </c>
      <c r="K718" s="4">
        <f>INDEX(products!$A$1:$G$49, MATCH(orders!$D718,products!$A$1:$A$49,0), MATCH(K$1,products!$A$1:$G$1,0))</f>
        <v>1</v>
      </c>
      <c r="L718" s="5">
        <f>INDEX(products!$A$1:$G$49, MATCH(orders!$D718,products!$A$1:$A$49,0), MATCH(L$1,products!$A$1:$G$1,0))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 = 0, "", _xlfn.XLOOKUP(C719,customers!$A$1:$A$1001,customers!$C$1:$C$1001,,0))</f>
        <v>wharvisonjx@gizmodo.com</v>
      </c>
      <c r="H719" s="2" t="str">
        <f>_xlfn.XLOOKUP(C719,customers!$A$1:$A$1001,customers!$G$1:$G$1001,,0)</f>
        <v>United States</v>
      </c>
      <c r="I719" t="str">
        <f>INDEX(products!$A$1:$G$49, MATCH(orders!$D719,products!$A$1:$A$49,0), MATCH(I$1,products!$A$1:$G$1,0))</f>
        <v>Ara</v>
      </c>
      <c r="J719" t="str">
        <f>INDEX(products!$A$1:$G$49, MATCH(orders!$D719,products!$A$1:$A$49,0), MATCH(J$1,products!$A$1:$G$1,0))</f>
        <v>D</v>
      </c>
      <c r="K719" s="4">
        <f>INDEX(products!$A$1:$G$49, MATCH(orders!$D719,products!$A$1:$A$49,0), MATCH(K$1,products!$A$1:$G$1,0))</f>
        <v>2.5</v>
      </c>
      <c r="L719" s="5">
        <f>INDEX(products!$A$1:$G$49, MATCH(orders!$D719,products!$A$1:$A$49,0), MATCH(L$1,products!$A$1:$G$1,0))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 = 0, "", _xlfn.XLOOKUP(C720,customers!$A$1:$A$1001,customers!$C$1:$C$1001,,0))</f>
        <v>dheafordjy@twitpic.com</v>
      </c>
      <c r="H720" s="2" t="str">
        <f>_xlfn.XLOOKUP(C720,customers!$A$1:$A$1001,customers!$G$1:$G$1001,,0)</f>
        <v>United States</v>
      </c>
      <c r="I720" t="str">
        <f>INDEX(products!$A$1:$G$49, MATCH(orders!$D720,products!$A$1:$A$49,0), MATCH(I$1,products!$A$1:$G$1,0))</f>
        <v>Lib</v>
      </c>
      <c r="J720" t="str">
        <f>INDEX(products!$A$1:$G$49, MATCH(orders!$D720,products!$A$1:$A$49,0), MATCH(J$1,products!$A$1:$G$1,0))</f>
        <v>D</v>
      </c>
      <c r="K720" s="4">
        <f>INDEX(products!$A$1:$G$49, MATCH(orders!$D720,products!$A$1:$A$49,0), MATCH(K$1,products!$A$1:$G$1,0))</f>
        <v>1</v>
      </c>
      <c r="L720" s="5">
        <f>INDEX(products!$A$1:$G$49, MATCH(orders!$D720,products!$A$1:$A$49,0), MATCH(L$1,products!$A$1:$G$1,0))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 = 0, "", _xlfn.XLOOKUP(C721,customers!$A$1:$A$1001,customers!$C$1:$C$1001,,0))</f>
        <v>gfanthamjz@hexun.com</v>
      </c>
      <c r="H721" s="2" t="str">
        <f>_xlfn.XLOOKUP(C721,customers!$A$1:$A$1001,customers!$G$1:$G$1001,,0)</f>
        <v>United States</v>
      </c>
      <c r="I721" t="str">
        <f>INDEX(products!$A$1:$G$49, MATCH(orders!$D721,products!$A$1:$A$49,0), MATCH(I$1,products!$A$1:$G$1,0))</f>
        <v>Lib</v>
      </c>
      <c r="J721" t="str">
        <f>INDEX(products!$A$1:$G$49, MATCH(orders!$D721,products!$A$1:$A$49,0), MATCH(J$1,products!$A$1:$G$1,0))</f>
        <v>L</v>
      </c>
      <c r="K721" s="4">
        <f>INDEX(products!$A$1:$G$49, MATCH(orders!$D721,products!$A$1:$A$49,0), MATCH(K$1,products!$A$1:$G$1,0))</f>
        <v>1</v>
      </c>
      <c r="L721" s="5">
        <f>INDEX(products!$A$1:$G$49, MATCH(orders!$D721,products!$A$1:$A$49,0), MATCH(L$1,products!$A$1:$G$1,0))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 = 0, "", _xlfn.XLOOKUP(C722,customers!$A$1:$A$1001,customers!$C$1:$C$1001,,0))</f>
        <v>rcrookshanksk0@unc.edu</v>
      </c>
      <c r="H722" s="2" t="str">
        <f>_xlfn.XLOOKUP(C722,customers!$A$1:$A$1001,customers!$G$1:$G$1001,,0)</f>
        <v>United States</v>
      </c>
      <c r="I722" t="str">
        <f>INDEX(products!$A$1:$G$49, MATCH(orders!$D722,products!$A$1:$A$49,0), MATCH(I$1,products!$A$1:$G$1,0))</f>
        <v>Exc</v>
      </c>
      <c r="J722" t="str">
        <f>INDEX(products!$A$1:$G$49, MATCH(orders!$D722,products!$A$1:$A$49,0), MATCH(J$1,products!$A$1:$G$1,0))</f>
        <v>D</v>
      </c>
      <c r="K722" s="4">
        <f>INDEX(products!$A$1:$G$49, MATCH(orders!$D722,products!$A$1:$A$49,0), MATCH(K$1,products!$A$1:$G$1,0))</f>
        <v>0.5</v>
      </c>
      <c r="L722" s="5">
        <f>INDEX(products!$A$1:$G$49, MATCH(orders!$D722,products!$A$1:$A$49,0), MATCH(L$1,products!$A$1:$G$1,0))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 = 0, "", _xlfn.XLOOKUP(C723,customers!$A$1:$A$1001,customers!$C$1:$C$1001,,0))</f>
        <v>nleakek1@cmu.edu</v>
      </c>
      <c r="H723" s="2" t="str">
        <f>_xlfn.XLOOKUP(C723,customers!$A$1:$A$1001,customers!$G$1:$G$1001,,0)</f>
        <v>United States</v>
      </c>
      <c r="I723" t="str">
        <f>INDEX(products!$A$1:$G$49, MATCH(orders!$D723,products!$A$1:$A$49,0), MATCH(I$1,products!$A$1:$G$1,0))</f>
        <v>Rob</v>
      </c>
      <c r="J723" t="str">
        <f>INDEX(products!$A$1:$G$49, MATCH(orders!$D723,products!$A$1:$A$49,0), MATCH(J$1,products!$A$1:$G$1,0))</f>
        <v>M</v>
      </c>
      <c r="K723" s="4">
        <f>INDEX(products!$A$1:$G$49, MATCH(orders!$D723,products!$A$1:$A$49,0), MATCH(K$1,products!$A$1:$G$1,0))</f>
        <v>0.2</v>
      </c>
      <c r="L723" s="5">
        <f>INDEX(products!$A$1:$G$49, MATCH(orders!$D723,products!$A$1:$A$49,0), MATCH(L$1,products!$A$1:$G$1,0))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 = 0, "", _xlfn.XLOOKUP(C724,customers!$A$1:$A$1001,customers!$C$1:$C$1001,,0))</f>
        <v/>
      </c>
      <c r="H724" s="2" t="str">
        <f>_xlfn.XLOOKUP(C724,customers!$A$1:$A$1001,customers!$G$1:$G$1001,,0)</f>
        <v>United States</v>
      </c>
      <c r="I724" t="str">
        <f>INDEX(products!$A$1:$G$49, MATCH(orders!$D724,products!$A$1:$A$49,0), MATCH(I$1,products!$A$1:$G$1,0))</f>
        <v>Exc</v>
      </c>
      <c r="J724" t="str">
        <f>INDEX(products!$A$1:$G$49, MATCH(orders!$D724,products!$A$1:$A$49,0), MATCH(J$1,products!$A$1:$G$1,0))</f>
        <v>D</v>
      </c>
      <c r="K724" s="4">
        <f>INDEX(products!$A$1:$G$49, MATCH(orders!$D724,products!$A$1:$A$49,0), MATCH(K$1,products!$A$1:$G$1,0))</f>
        <v>1</v>
      </c>
      <c r="L724" s="5">
        <f>INDEX(products!$A$1:$G$49, MATCH(orders!$D724,products!$A$1:$A$49,0), MATCH(L$1,products!$A$1:$G$1,0))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 = 0, "", _xlfn.XLOOKUP(C725,customers!$A$1:$A$1001,customers!$C$1:$C$1001,,0))</f>
        <v>geilhersenk3@networksolutions.com</v>
      </c>
      <c r="H725" s="2" t="str">
        <f>_xlfn.XLOOKUP(C725,customers!$A$1:$A$1001,customers!$G$1:$G$1001,,0)</f>
        <v>United States</v>
      </c>
      <c r="I725" t="str">
        <f>INDEX(products!$A$1:$G$49, MATCH(orders!$D725,products!$A$1:$A$49,0), MATCH(I$1,products!$A$1:$G$1,0))</f>
        <v>Exc</v>
      </c>
      <c r="J725" t="str">
        <f>INDEX(products!$A$1:$G$49, MATCH(orders!$D725,products!$A$1:$A$49,0), MATCH(J$1,products!$A$1:$G$1,0))</f>
        <v>M</v>
      </c>
      <c r="K725" s="4">
        <f>INDEX(products!$A$1:$G$49, MATCH(orders!$D725,products!$A$1:$A$49,0), MATCH(K$1,products!$A$1:$G$1,0))</f>
        <v>2.5</v>
      </c>
      <c r="L725" s="5">
        <f>INDEX(products!$A$1:$G$49, MATCH(orders!$D725,products!$A$1:$A$49,0), MATCH(L$1,products!$A$1:$G$1,0))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 = 0, "", _xlfn.XLOOKUP(C726,customers!$A$1:$A$1001,customers!$C$1:$C$1001,,0))</f>
        <v/>
      </c>
      <c r="H726" s="2" t="str">
        <f>_xlfn.XLOOKUP(C726,customers!$A$1:$A$1001,customers!$G$1:$G$1001,,0)</f>
        <v>United States</v>
      </c>
      <c r="I726" t="str">
        <f>INDEX(products!$A$1:$G$49, MATCH(orders!$D726,products!$A$1:$A$49,0), MATCH(I$1,products!$A$1:$G$1,0))</f>
        <v>Ara</v>
      </c>
      <c r="J726" t="str">
        <f>INDEX(products!$A$1:$G$49, MATCH(orders!$D726,products!$A$1:$A$49,0), MATCH(J$1,products!$A$1:$G$1,0))</f>
        <v>M</v>
      </c>
      <c r="K726" s="4">
        <f>INDEX(products!$A$1:$G$49, MATCH(orders!$D726,products!$A$1:$A$49,0), MATCH(K$1,products!$A$1:$G$1,0))</f>
        <v>0.2</v>
      </c>
      <c r="L726" s="5">
        <f>INDEX(products!$A$1:$G$49, MATCH(orders!$D726,products!$A$1:$A$49,0), MATCH(L$1,products!$A$1:$G$1,0))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 = 0, "", _xlfn.XLOOKUP(C727,customers!$A$1:$A$1001,customers!$C$1:$C$1001,,0))</f>
        <v>caleixok5@globo.com</v>
      </c>
      <c r="H727" s="2" t="str">
        <f>_xlfn.XLOOKUP(C727,customers!$A$1:$A$1001,customers!$G$1:$G$1001,,0)</f>
        <v>United States</v>
      </c>
      <c r="I727" t="str">
        <f>INDEX(products!$A$1:$G$49, MATCH(orders!$D727,products!$A$1:$A$49,0), MATCH(I$1,products!$A$1:$G$1,0))</f>
        <v>Ara</v>
      </c>
      <c r="J727" t="str">
        <f>INDEX(products!$A$1:$G$49, MATCH(orders!$D727,products!$A$1:$A$49,0), MATCH(J$1,products!$A$1:$G$1,0))</f>
        <v>L</v>
      </c>
      <c r="K727" s="4">
        <f>INDEX(products!$A$1:$G$49, MATCH(orders!$D727,products!$A$1:$A$49,0), MATCH(K$1,products!$A$1:$G$1,0))</f>
        <v>0.2</v>
      </c>
      <c r="L727" s="5">
        <f>INDEX(products!$A$1:$G$49, MATCH(orders!$D727,products!$A$1:$A$49,0), MATCH(L$1,products!$A$1:$G$1,0))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 = 0, "", _xlfn.XLOOKUP(C728,customers!$A$1:$A$1001,customers!$C$1:$C$1001,,0))</f>
        <v/>
      </c>
      <c r="H728" s="2" t="str">
        <f>_xlfn.XLOOKUP(C728,customers!$A$1:$A$1001,customers!$G$1:$G$1001,,0)</f>
        <v>United States</v>
      </c>
      <c r="I728" t="str">
        <f>INDEX(products!$A$1:$G$49, MATCH(orders!$D728,products!$A$1:$A$49,0), MATCH(I$1,products!$A$1:$G$1,0))</f>
        <v>Lib</v>
      </c>
      <c r="J728" t="str">
        <f>INDEX(products!$A$1:$G$49, MATCH(orders!$D728,products!$A$1:$A$49,0), MATCH(J$1,products!$A$1:$G$1,0))</f>
        <v>L</v>
      </c>
      <c r="K728" s="4">
        <f>INDEX(products!$A$1:$G$49, MATCH(orders!$D728,products!$A$1:$A$49,0), MATCH(K$1,products!$A$1:$G$1,0))</f>
        <v>2.5</v>
      </c>
      <c r="L728" s="5">
        <f>INDEX(products!$A$1:$G$49, MATCH(orders!$D728,products!$A$1:$A$49,0), MATCH(L$1,products!$A$1:$G$1,0))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 = 0, "", _xlfn.XLOOKUP(C729,customers!$A$1:$A$1001,customers!$C$1:$C$1001,,0))</f>
        <v>rtomkowiczk7@bravesites.com</v>
      </c>
      <c r="H729" s="2" t="str">
        <f>_xlfn.XLOOKUP(C729,customers!$A$1:$A$1001,customers!$G$1:$G$1001,,0)</f>
        <v>Ireland</v>
      </c>
      <c r="I729" t="str">
        <f>INDEX(products!$A$1:$G$49, MATCH(orders!$D729,products!$A$1:$A$49,0), MATCH(I$1,products!$A$1:$G$1,0))</f>
        <v>Rob</v>
      </c>
      <c r="J729" t="str">
        <f>INDEX(products!$A$1:$G$49, MATCH(orders!$D729,products!$A$1:$A$49,0), MATCH(J$1,products!$A$1:$G$1,0))</f>
        <v>M</v>
      </c>
      <c r="K729" s="4">
        <f>INDEX(products!$A$1:$G$49, MATCH(orders!$D729,products!$A$1:$A$49,0), MATCH(K$1,products!$A$1:$G$1,0))</f>
        <v>0.5</v>
      </c>
      <c r="L729" s="5">
        <f>INDEX(products!$A$1:$G$49, MATCH(orders!$D729,products!$A$1:$A$49,0), MATCH(L$1,products!$A$1:$G$1,0))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 = 0, "", _xlfn.XLOOKUP(C730,customers!$A$1:$A$1001,customers!$C$1:$C$1001,,0))</f>
        <v>rhuscroftk8@jimdo.com</v>
      </c>
      <c r="H730" s="2" t="str">
        <f>_xlfn.XLOOKUP(C730,customers!$A$1:$A$1001,customers!$G$1:$G$1001,,0)</f>
        <v>United States</v>
      </c>
      <c r="I730" t="str">
        <f>INDEX(products!$A$1:$G$49, MATCH(orders!$D730,products!$A$1:$A$49,0), MATCH(I$1,products!$A$1:$G$1,0))</f>
        <v>Exc</v>
      </c>
      <c r="J730" t="str">
        <f>INDEX(products!$A$1:$G$49, MATCH(orders!$D730,products!$A$1:$A$49,0), MATCH(J$1,products!$A$1:$G$1,0))</f>
        <v>D</v>
      </c>
      <c r="K730" s="4">
        <f>INDEX(products!$A$1:$G$49, MATCH(orders!$D730,products!$A$1:$A$49,0), MATCH(K$1,products!$A$1:$G$1,0))</f>
        <v>0.5</v>
      </c>
      <c r="L730" s="5">
        <f>INDEX(products!$A$1:$G$49, MATCH(orders!$D730,products!$A$1:$A$49,0), MATCH(L$1,products!$A$1:$G$1,0))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 = 0, "", _xlfn.XLOOKUP(C731,customers!$A$1:$A$1001,customers!$C$1:$C$1001,,0))</f>
        <v>sscurrerk9@flavors.me</v>
      </c>
      <c r="H731" s="2" t="str">
        <f>_xlfn.XLOOKUP(C731,customers!$A$1:$A$1001,customers!$G$1:$G$1001,,0)</f>
        <v>United Kingdom</v>
      </c>
      <c r="I731" t="str">
        <f>INDEX(products!$A$1:$G$49, MATCH(orders!$D731,products!$A$1:$A$49,0), MATCH(I$1,products!$A$1:$G$1,0))</f>
        <v>Lib</v>
      </c>
      <c r="J731" t="str">
        <f>INDEX(products!$A$1:$G$49, MATCH(orders!$D731,products!$A$1:$A$49,0), MATCH(J$1,products!$A$1:$G$1,0))</f>
        <v>M</v>
      </c>
      <c r="K731" s="4">
        <f>INDEX(products!$A$1:$G$49, MATCH(orders!$D731,products!$A$1:$A$49,0), MATCH(K$1,products!$A$1:$G$1,0))</f>
        <v>0.2</v>
      </c>
      <c r="L731" s="5">
        <f>INDEX(products!$A$1:$G$49, MATCH(orders!$D731,products!$A$1:$A$49,0), MATCH(L$1,products!$A$1:$G$1,0))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 = 0, "", _xlfn.XLOOKUP(C732,customers!$A$1:$A$1001,customers!$C$1:$C$1001,,0))</f>
        <v>arudramka@prnewswire.com</v>
      </c>
      <c r="H732" s="2" t="str">
        <f>_xlfn.XLOOKUP(C732,customers!$A$1:$A$1001,customers!$G$1:$G$1001,,0)</f>
        <v>United States</v>
      </c>
      <c r="I732" t="str">
        <f>INDEX(products!$A$1:$G$49, MATCH(orders!$D732,products!$A$1:$A$49,0), MATCH(I$1,products!$A$1:$G$1,0))</f>
        <v>Lib</v>
      </c>
      <c r="J732" t="str">
        <f>INDEX(products!$A$1:$G$49, MATCH(orders!$D732,products!$A$1:$A$49,0), MATCH(J$1,products!$A$1:$G$1,0))</f>
        <v>L</v>
      </c>
      <c r="K732" s="4">
        <f>INDEX(products!$A$1:$G$49, MATCH(orders!$D732,products!$A$1:$A$49,0), MATCH(K$1,products!$A$1:$G$1,0))</f>
        <v>2.5</v>
      </c>
      <c r="L732" s="5">
        <f>INDEX(products!$A$1:$G$49, MATCH(orders!$D732,products!$A$1:$A$49,0), MATCH(L$1,products!$A$1:$G$1,0))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 = 0, "", _xlfn.XLOOKUP(C733,customers!$A$1:$A$1001,customers!$C$1:$C$1001,,0))</f>
        <v/>
      </c>
      <c r="H733" s="2" t="str">
        <f>_xlfn.XLOOKUP(C733,customers!$A$1:$A$1001,customers!$G$1:$G$1001,,0)</f>
        <v>United States</v>
      </c>
      <c r="I733" t="str">
        <f>INDEX(products!$A$1:$G$49, MATCH(orders!$D733,products!$A$1:$A$49,0), MATCH(I$1,products!$A$1:$G$1,0))</f>
        <v>Lib</v>
      </c>
      <c r="J733" t="str">
        <f>INDEX(products!$A$1:$G$49, MATCH(orders!$D733,products!$A$1:$A$49,0), MATCH(J$1,products!$A$1:$G$1,0))</f>
        <v>D</v>
      </c>
      <c r="K733" s="4">
        <f>INDEX(products!$A$1:$G$49, MATCH(orders!$D733,products!$A$1:$A$49,0), MATCH(K$1,products!$A$1:$G$1,0))</f>
        <v>0.2</v>
      </c>
      <c r="L733" s="5">
        <f>INDEX(products!$A$1:$G$49, MATCH(orders!$D733,products!$A$1:$A$49,0), MATCH(L$1,products!$A$1:$G$1,0))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 = 0, "", _xlfn.XLOOKUP(C734,customers!$A$1:$A$1001,customers!$C$1:$C$1001,,0))</f>
        <v>jmahakc@cyberchimps.com</v>
      </c>
      <c r="H734" s="2" t="str">
        <f>_xlfn.XLOOKUP(C734,customers!$A$1:$A$1001,customers!$G$1:$G$1001,,0)</f>
        <v>United States</v>
      </c>
      <c r="I734" t="str">
        <f>INDEX(products!$A$1:$G$49, MATCH(orders!$D734,products!$A$1:$A$49,0), MATCH(I$1,products!$A$1:$G$1,0))</f>
        <v>Exc</v>
      </c>
      <c r="J734" t="str">
        <f>INDEX(products!$A$1:$G$49, MATCH(orders!$D734,products!$A$1:$A$49,0), MATCH(J$1,products!$A$1:$G$1,0))</f>
        <v>L</v>
      </c>
      <c r="K734" s="4">
        <f>INDEX(products!$A$1:$G$49, MATCH(orders!$D734,products!$A$1:$A$49,0), MATCH(K$1,products!$A$1:$G$1,0))</f>
        <v>0.2</v>
      </c>
      <c r="L734" s="5">
        <f>INDEX(products!$A$1:$G$49, MATCH(orders!$D734,products!$A$1:$A$49,0), MATCH(L$1,products!$A$1:$G$1,0))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 = 0, "", _xlfn.XLOOKUP(C735,customers!$A$1:$A$1001,customers!$C$1:$C$1001,,0))</f>
        <v>gclemonkd@networksolutions.com</v>
      </c>
      <c r="H735" s="2" t="str">
        <f>_xlfn.XLOOKUP(C735,customers!$A$1:$A$1001,customers!$G$1:$G$1001,,0)</f>
        <v>United States</v>
      </c>
      <c r="I735" t="str">
        <f>INDEX(products!$A$1:$G$49, MATCH(orders!$D735,products!$A$1:$A$49,0), MATCH(I$1,products!$A$1:$G$1,0))</f>
        <v>Lib</v>
      </c>
      <c r="J735" t="str">
        <f>INDEX(products!$A$1:$G$49, MATCH(orders!$D735,products!$A$1:$A$49,0), MATCH(J$1,products!$A$1:$G$1,0))</f>
        <v>M</v>
      </c>
      <c r="K735" s="4">
        <f>INDEX(products!$A$1:$G$49, MATCH(orders!$D735,products!$A$1:$A$49,0), MATCH(K$1,products!$A$1:$G$1,0))</f>
        <v>2.5</v>
      </c>
      <c r="L735" s="5">
        <f>INDEX(products!$A$1:$G$49, MATCH(orders!$D735,products!$A$1:$A$49,0), MATCH(L$1,products!$A$1:$G$1,0))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 = 0, "", _xlfn.XLOOKUP(C736,customers!$A$1:$A$1001,customers!$C$1:$C$1001,,0))</f>
        <v/>
      </c>
      <c r="H736" s="2" t="str">
        <f>_xlfn.XLOOKUP(C736,customers!$A$1:$A$1001,customers!$G$1:$G$1001,,0)</f>
        <v>United States</v>
      </c>
      <c r="I736" t="str">
        <f>INDEX(products!$A$1:$G$49, MATCH(orders!$D736,products!$A$1:$A$49,0), MATCH(I$1,products!$A$1:$G$1,0))</f>
        <v>Rob</v>
      </c>
      <c r="J736" t="str">
        <f>INDEX(products!$A$1:$G$49, MATCH(orders!$D736,products!$A$1:$A$49,0), MATCH(J$1,products!$A$1:$G$1,0))</f>
        <v>D</v>
      </c>
      <c r="K736" s="4">
        <f>INDEX(products!$A$1:$G$49, MATCH(orders!$D736,products!$A$1:$A$49,0), MATCH(K$1,products!$A$1:$G$1,0))</f>
        <v>0.2</v>
      </c>
      <c r="L736" s="5">
        <f>INDEX(products!$A$1:$G$49, MATCH(orders!$D736,products!$A$1:$A$49,0), MATCH(L$1,products!$A$1:$G$1,0))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 = 0, "", _xlfn.XLOOKUP(C737,customers!$A$1:$A$1001,customers!$C$1:$C$1001,,0))</f>
        <v>bpollinskf@shinystat.com</v>
      </c>
      <c r="H737" s="2" t="str">
        <f>_xlfn.XLOOKUP(C737,customers!$A$1:$A$1001,customers!$G$1:$G$1001,,0)</f>
        <v>United States</v>
      </c>
      <c r="I737" t="str">
        <f>INDEX(products!$A$1:$G$49, MATCH(orders!$D737,products!$A$1:$A$49,0), MATCH(I$1,products!$A$1:$G$1,0))</f>
        <v>Exc</v>
      </c>
      <c r="J737" t="str">
        <f>INDEX(products!$A$1:$G$49, MATCH(orders!$D737,products!$A$1:$A$49,0), MATCH(J$1,products!$A$1:$G$1,0))</f>
        <v>D</v>
      </c>
      <c r="K737" s="4">
        <f>INDEX(products!$A$1:$G$49, MATCH(orders!$D737,products!$A$1:$A$49,0), MATCH(K$1,products!$A$1:$G$1,0))</f>
        <v>0.2</v>
      </c>
      <c r="L737" s="5">
        <f>INDEX(products!$A$1:$G$49, MATCH(orders!$D737,products!$A$1:$A$49,0), MATCH(L$1,products!$A$1:$G$1,0))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 = 0, "", _xlfn.XLOOKUP(C738,customers!$A$1:$A$1001,customers!$C$1:$C$1001,,0))</f>
        <v>jtoyekg@pinterest.com</v>
      </c>
      <c r="H738" s="2" t="str">
        <f>_xlfn.XLOOKUP(C738,customers!$A$1:$A$1001,customers!$G$1:$G$1001,,0)</f>
        <v>Ireland</v>
      </c>
      <c r="I738" t="str">
        <f>INDEX(products!$A$1:$G$49, MATCH(orders!$D738,products!$A$1:$A$49,0), MATCH(I$1,products!$A$1:$G$1,0))</f>
        <v>Lib</v>
      </c>
      <c r="J738" t="str">
        <f>INDEX(products!$A$1:$G$49, MATCH(orders!$D738,products!$A$1:$A$49,0), MATCH(J$1,products!$A$1:$G$1,0))</f>
        <v>D</v>
      </c>
      <c r="K738" s="4">
        <f>INDEX(products!$A$1:$G$49, MATCH(orders!$D738,products!$A$1:$A$49,0), MATCH(K$1,products!$A$1:$G$1,0))</f>
        <v>1</v>
      </c>
      <c r="L738" s="5">
        <f>INDEX(products!$A$1:$G$49, MATCH(orders!$D738,products!$A$1:$A$49,0), MATCH(L$1,products!$A$1:$G$1,0))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 = 0, "", _xlfn.XLOOKUP(C739,customers!$A$1:$A$1001,customers!$C$1:$C$1001,,0))</f>
        <v>clinskillkh@sphinn.com</v>
      </c>
      <c r="H739" s="2" t="str">
        <f>_xlfn.XLOOKUP(C739,customers!$A$1:$A$1001,customers!$G$1:$G$1001,,0)</f>
        <v>United States</v>
      </c>
      <c r="I739" t="str">
        <f>INDEX(products!$A$1:$G$49, MATCH(orders!$D739,products!$A$1:$A$49,0), MATCH(I$1,products!$A$1:$G$1,0))</f>
        <v>Ara</v>
      </c>
      <c r="J739" t="str">
        <f>INDEX(products!$A$1:$G$49, MATCH(orders!$D739,products!$A$1:$A$49,0), MATCH(J$1,products!$A$1:$G$1,0))</f>
        <v>M</v>
      </c>
      <c r="K739" s="4">
        <f>INDEX(products!$A$1:$G$49, MATCH(orders!$D739,products!$A$1:$A$49,0), MATCH(K$1,products!$A$1:$G$1,0))</f>
        <v>1</v>
      </c>
      <c r="L739" s="5">
        <f>INDEX(products!$A$1:$G$49, MATCH(orders!$D739,products!$A$1:$A$49,0), MATCH(L$1,products!$A$1:$G$1,0))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 = 0, "", _xlfn.XLOOKUP(C740,customers!$A$1:$A$1001,customers!$C$1:$C$1001,,0))</f>
        <v>nvigrasski@ezinearticles.com</v>
      </c>
      <c r="H740" s="2" t="str">
        <f>_xlfn.XLOOKUP(C740,customers!$A$1:$A$1001,customers!$G$1:$G$1001,,0)</f>
        <v>United Kingdom</v>
      </c>
      <c r="I740" t="str">
        <f>INDEX(products!$A$1:$G$49, MATCH(orders!$D740,products!$A$1:$A$49,0), MATCH(I$1,products!$A$1:$G$1,0))</f>
        <v>Rob</v>
      </c>
      <c r="J740" t="str">
        <f>INDEX(products!$A$1:$G$49, MATCH(orders!$D740,products!$A$1:$A$49,0), MATCH(J$1,products!$A$1:$G$1,0))</f>
        <v>L</v>
      </c>
      <c r="K740" s="4">
        <f>INDEX(products!$A$1:$G$49, MATCH(orders!$D740,products!$A$1:$A$49,0), MATCH(K$1,products!$A$1:$G$1,0))</f>
        <v>0.2</v>
      </c>
      <c r="L740" s="5">
        <f>INDEX(products!$A$1:$G$49, MATCH(orders!$D740,products!$A$1:$A$49,0), MATCH(L$1,products!$A$1:$G$1,0))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 = 0, "", _xlfn.XLOOKUP(C741,customers!$A$1:$A$1001,customers!$C$1:$C$1001,,0))</f>
        <v>jdymokeje@prnewswire.com</v>
      </c>
      <c r="H741" s="2" t="str">
        <f>_xlfn.XLOOKUP(C741,customers!$A$1:$A$1001,customers!$G$1:$G$1001,,0)</f>
        <v>Ireland</v>
      </c>
      <c r="I741" t="str">
        <f>INDEX(products!$A$1:$G$49, MATCH(orders!$D741,products!$A$1:$A$49,0), MATCH(I$1,products!$A$1:$G$1,0))</f>
        <v>Exc</v>
      </c>
      <c r="J741" t="str">
        <f>INDEX(products!$A$1:$G$49, MATCH(orders!$D741,products!$A$1:$A$49,0), MATCH(J$1,products!$A$1:$G$1,0))</f>
        <v>D</v>
      </c>
      <c r="K741" s="4">
        <f>INDEX(products!$A$1:$G$49, MATCH(orders!$D741,products!$A$1:$A$49,0), MATCH(K$1,products!$A$1:$G$1,0))</f>
        <v>0.2</v>
      </c>
      <c r="L741" s="5">
        <f>INDEX(products!$A$1:$G$49, MATCH(orders!$D741,products!$A$1:$A$49,0), MATCH(L$1,products!$A$1:$G$1,0))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 = 0, "", _xlfn.XLOOKUP(C742,customers!$A$1:$A$1001,customers!$C$1:$C$1001,,0))</f>
        <v>kcragellkk@google.com</v>
      </c>
      <c r="H742" s="2" t="str">
        <f>_xlfn.XLOOKUP(C742,customers!$A$1:$A$1001,customers!$G$1:$G$1001,,0)</f>
        <v>Ireland</v>
      </c>
      <c r="I742" t="str">
        <f>INDEX(products!$A$1:$G$49, MATCH(orders!$D742,products!$A$1:$A$49,0), MATCH(I$1,products!$A$1:$G$1,0))</f>
        <v>Rob</v>
      </c>
      <c r="J742" t="str">
        <f>INDEX(products!$A$1:$G$49, MATCH(orders!$D742,products!$A$1:$A$49,0), MATCH(J$1,products!$A$1:$G$1,0))</f>
        <v>L</v>
      </c>
      <c r="K742" s="4">
        <f>INDEX(products!$A$1:$G$49, MATCH(orders!$D742,products!$A$1:$A$49,0), MATCH(K$1,products!$A$1:$G$1,0))</f>
        <v>0.5</v>
      </c>
      <c r="L742" s="5">
        <f>INDEX(products!$A$1:$G$49, MATCH(orders!$D742,products!$A$1:$A$49,0), MATCH(L$1,products!$A$1:$G$1,0))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 = 0, "", _xlfn.XLOOKUP(C743,customers!$A$1:$A$1001,customers!$C$1:$C$1001,,0))</f>
        <v>libertkl@huffingtonpost.com</v>
      </c>
      <c r="H743" s="2" t="str">
        <f>_xlfn.XLOOKUP(C743,customers!$A$1:$A$1001,customers!$G$1:$G$1001,,0)</f>
        <v>United States</v>
      </c>
      <c r="I743" t="str">
        <f>INDEX(products!$A$1:$G$49, MATCH(orders!$D743,products!$A$1:$A$49,0), MATCH(I$1,products!$A$1:$G$1,0))</f>
        <v>Lib</v>
      </c>
      <c r="J743" t="str">
        <f>INDEX(products!$A$1:$G$49, MATCH(orders!$D743,products!$A$1:$A$49,0), MATCH(J$1,products!$A$1:$G$1,0))</f>
        <v>M</v>
      </c>
      <c r="K743" s="4">
        <f>INDEX(products!$A$1:$G$49, MATCH(orders!$D743,products!$A$1:$A$49,0), MATCH(K$1,products!$A$1:$G$1,0))</f>
        <v>0.2</v>
      </c>
      <c r="L743" s="5">
        <f>INDEX(products!$A$1:$G$49, MATCH(orders!$D743,products!$A$1:$A$49,0), MATCH(L$1,products!$A$1:$G$1,0))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 = 0, "", _xlfn.XLOOKUP(C744,customers!$A$1:$A$1001,customers!$C$1:$C$1001,,0))</f>
        <v>rlidgeykm@vimeo.com</v>
      </c>
      <c r="H744" s="2" t="str">
        <f>_xlfn.XLOOKUP(C744,customers!$A$1:$A$1001,customers!$G$1:$G$1001,,0)</f>
        <v>United States</v>
      </c>
      <c r="I744" t="str">
        <f>INDEX(products!$A$1:$G$49, MATCH(orders!$D744,products!$A$1:$A$49,0), MATCH(I$1,products!$A$1:$G$1,0))</f>
        <v>Lib</v>
      </c>
      <c r="J744" t="str">
        <f>INDEX(products!$A$1:$G$49, MATCH(orders!$D744,products!$A$1:$A$49,0), MATCH(J$1,products!$A$1:$G$1,0))</f>
        <v>M</v>
      </c>
      <c r="K744" s="4">
        <f>INDEX(products!$A$1:$G$49, MATCH(orders!$D744,products!$A$1:$A$49,0), MATCH(K$1,products!$A$1:$G$1,0))</f>
        <v>1</v>
      </c>
      <c r="L744" s="5">
        <f>INDEX(products!$A$1:$G$49, MATCH(orders!$D744,products!$A$1:$A$49,0), MATCH(L$1,products!$A$1:$G$1,0))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 = 0, "", _xlfn.XLOOKUP(C745,customers!$A$1:$A$1001,customers!$C$1:$C$1001,,0))</f>
        <v>tcastagnekn@wikia.com</v>
      </c>
      <c r="H745" s="2" t="str">
        <f>_xlfn.XLOOKUP(C745,customers!$A$1:$A$1001,customers!$G$1:$G$1001,,0)</f>
        <v>United States</v>
      </c>
      <c r="I745" t="str">
        <f>INDEX(products!$A$1:$G$49, MATCH(orders!$D745,products!$A$1:$A$49,0), MATCH(I$1,products!$A$1:$G$1,0))</f>
        <v>Ara</v>
      </c>
      <c r="J745" t="str">
        <f>INDEX(products!$A$1:$G$49, MATCH(orders!$D745,products!$A$1:$A$49,0), MATCH(J$1,products!$A$1:$G$1,0))</f>
        <v>D</v>
      </c>
      <c r="K745" s="4">
        <f>INDEX(products!$A$1:$G$49, MATCH(orders!$D745,products!$A$1:$A$49,0), MATCH(K$1,products!$A$1:$G$1,0))</f>
        <v>0.5</v>
      </c>
      <c r="L745" s="5">
        <f>INDEX(products!$A$1:$G$49, MATCH(orders!$D745,products!$A$1:$A$49,0), MATCH(L$1,products!$A$1:$G$1,0))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 = 0, "", _xlfn.XLOOKUP(C746,customers!$A$1:$A$1001,customers!$C$1:$C$1001,,0))</f>
        <v/>
      </c>
      <c r="H746" s="2" t="str">
        <f>_xlfn.XLOOKUP(C746,customers!$A$1:$A$1001,customers!$G$1:$G$1001,,0)</f>
        <v>United States</v>
      </c>
      <c r="I746" t="str">
        <f>INDEX(products!$A$1:$G$49, MATCH(orders!$D746,products!$A$1:$A$49,0), MATCH(I$1,products!$A$1:$G$1,0))</f>
        <v>Rob</v>
      </c>
      <c r="J746" t="str">
        <f>INDEX(products!$A$1:$G$49, MATCH(orders!$D746,products!$A$1:$A$49,0), MATCH(J$1,products!$A$1:$G$1,0))</f>
        <v>M</v>
      </c>
      <c r="K746" s="4">
        <f>INDEX(products!$A$1:$G$49, MATCH(orders!$D746,products!$A$1:$A$49,0), MATCH(K$1,products!$A$1:$G$1,0))</f>
        <v>0.2</v>
      </c>
      <c r="L746" s="5">
        <f>INDEX(products!$A$1:$G$49, MATCH(orders!$D746,products!$A$1:$A$49,0), MATCH(L$1,products!$A$1:$G$1,0))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 = 0, "", _xlfn.XLOOKUP(C747,customers!$A$1:$A$1001,customers!$C$1:$C$1001,,0))</f>
        <v>jhaldenkp@comcast.net</v>
      </c>
      <c r="H747" s="2" t="str">
        <f>_xlfn.XLOOKUP(C747,customers!$A$1:$A$1001,customers!$G$1:$G$1001,,0)</f>
        <v>Ireland</v>
      </c>
      <c r="I747" t="str">
        <f>INDEX(products!$A$1:$G$49, MATCH(orders!$D747,products!$A$1:$A$49,0), MATCH(I$1,products!$A$1:$G$1,0))</f>
        <v>Exc</v>
      </c>
      <c r="J747" t="str">
        <f>INDEX(products!$A$1:$G$49, MATCH(orders!$D747,products!$A$1:$A$49,0), MATCH(J$1,products!$A$1:$G$1,0))</f>
        <v>D</v>
      </c>
      <c r="K747" s="4">
        <f>INDEX(products!$A$1:$G$49, MATCH(orders!$D747,products!$A$1:$A$49,0), MATCH(K$1,products!$A$1:$G$1,0))</f>
        <v>0.5</v>
      </c>
      <c r="L747" s="5">
        <f>INDEX(products!$A$1:$G$49, MATCH(orders!$D747,products!$A$1:$A$49,0), MATCH(L$1,products!$A$1:$G$1,0))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 = 0, "", _xlfn.XLOOKUP(C748,customers!$A$1:$A$1001,customers!$C$1:$C$1001,,0))</f>
        <v>holliffkq@sciencedirect.com</v>
      </c>
      <c r="H748" s="2" t="str">
        <f>_xlfn.XLOOKUP(C748,customers!$A$1:$A$1001,customers!$G$1:$G$1001,,0)</f>
        <v>Ireland</v>
      </c>
      <c r="I748" t="str">
        <f>INDEX(products!$A$1:$G$49, MATCH(orders!$D748,products!$A$1:$A$49,0), MATCH(I$1,products!$A$1:$G$1,0))</f>
        <v>Ara</v>
      </c>
      <c r="J748" t="str">
        <f>INDEX(products!$A$1:$G$49, MATCH(orders!$D748,products!$A$1:$A$49,0), MATCH(J$1,products!$A$1:$G$1,0))</f>
        <v>M</v>
      </c>
      <c r="K748" s="4">
        <f>INDEX(products!$A$1:$G$49, MATCH(orders!$D748,products!$A$1:$A$49,0), MATCH(K$1,products!$A$1:$G$1,0))</f>
        <v>1</v>
      </c>
      <c r="L748" s="5">
        <f>INDEX(products!$A$1:$G$49, MATCH(orders!$D748,products!$A$1:$A$49,0), MATCH(L$1,products!$A$1:$G$1,0))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 = 0, "", _xlfn.XLOOKUP(C749,customers!$A$1:$A$1001,customers!$C$1:$C$1001,,0))</f>
        <v>tquadrikr@opensource.org</v>
      </c>
      <c r="H749" s="2" t="str">
        <f>_xlfn.XLOOKUP(C749,customers!$A$1:$A$1001,customers!$G$1:$G$1001,,0)</f>
        <v>Ireland</v>
      </c>
      <c r="I749" t="str">
        <f>INDEX(products!$A$1:$G$49, MATCH(orders!$D749,products!$A$1:$A$49,0), MATCH(I$1,products!$A$1:$G$1,0))</f>
        <v>Lib</v>
      </c>
      <c r="J749" t="str">
        <f>INDEX(products!$A$1:$G$49, MATCH(orders!$D749,products!$A$1:$A$49,0), MATCH(J$1,products!$A$1:$G$1,0))</f>
        <v>M</v>
      </c>
      <c r="K749" s="4">
        <f>INDEX(products!$A$1:$G$49, MATCH(orders!$D749,products!$A$1:$A$49,0), MATCH(K$1,products!$A$1:$G$1,0))</f>
        <v>0.5</v>
      </c>
      <c r="L749" s="5">
        <f>INDEX(products!$A$1:$G$49, MATCH(orders!$D749,products!$A$1:$A$49,0), MATCH(L$1,products!$A$1:$G$1,0))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 = 0, "", _xlfn.XLOOKUP(C750,customers!$A$1:$A$1001,customers!$C$1:$C$1001,,0))</f>
        <v>feshmadeks@umn.edu</v>
      </c>
      <c r="H750" s="2" t="str">
        <f>_xlfn.XLOOKUP(C750,customers!$A$1:$A$1001,customers!$G$1:$G$1001,,0)</f>
        <v>United States</v>
      </c>
      <c r="I750" t="str">
        <f>INDEX(products!$A$1:$G$49, MATCH(orders!$D750,products!$A$1:$A$49,0), MATCH(I$1,products!$A$1:$G$1,0))</f>
        <v>Exc</v>
      </c>
      <c r="J750" t="str">
        <f>INDEX(products!$A$1:$G$49, MATCH(orders!$D750,products!$A$1:$A$49,0), MATCH(J$1,products!$A$1:$G$1,0))</f>
        <v>D</v>
      </c>
      <c r="K750" s="4">
        <f>INDEX(products!$A$1:$G$49, MATCH(orders!$D750,products!$A$1:$A$49,0), MATCH(K$1,products!$A$1:$G$1,0))</f>
        <v>0.5</v>
      </c>
      <c r="L750" s="5">
        <f>INDEX(products!$A$1:$G$49, MATCH(orders!$D750,products!$A$1:$A$49,0), MATCH(L$1,products!$A$1:$G$1,0))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 = 0, "", _xlfn.XLOOKUP(C751,customers!$A$1:$A$1001,customers!$C$1:$C$1001,,0))</f>
        <v>moilierkt@paginegialle.it</v>
      </c>
      <c r="H751" s="2" t="str">
        <f>_xlfn.XLOOKUP(C751,customers!$A$1:$A$1001,customers!$G$1:$G$1001,,0)</f>
        <v>Ireland</v>
      </c>
      <c r="I751" t="str">
        <f>INDEX(products!$A$1:$G$49, MATCH(orders!$D751,products!$A$1:$A$49,0), MATCH(I$1,products!$A$1:$G$1,0))</f>
        <v>Rob</v>
      </c>
      <c r="J751" t="str">
        <f>INDEX(products!$A$1:$G$49, MATCH(orders!$D751,products!$A$1:$A$49,0), MATCH(J$1,products!$A$1:$G$1,0))</f>
        <v>D</v>
      </c>
      <c r="K751" s="4">
        <f>INDEX(products!$A$1:$G$49, MATCH(orders!$D751,products!$A$1:$A$49,0), MATCH(K$1,products!$A$1:$G$1,0))</f>
        <v>0.2</v>
      </c>
      <c r="L751" s="5">
        <f>INDEX(products!$A$1:$G$49, MATCH(orders!$D751,products!$A$1:$A$49,0), MATCH(L$1,products!$A$1:$G$1,0))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 = 0, "", _xlfn.XLOOKUP(C752,customers!$A$1:$A$1001,customers!$C$1:$C$1001,,0))</f>
        <v/>
      </c>
      <c r="H752" s="2" t="str">
        <f>_xlfn.XLOOKUP(C752,customers!$A$1:$A$1001,customers!$G$1:$G$1001,,0)</f>
        <v>United States</v>
      </c>
      <c r="I752" t="str">
        <f>INDEX(products!$A$1:$G$49, MATCH(orders!$D752,products!$A$1:$A$49,0), MATCH(I$1,products!$A$1:$G$1,0))</f>
        <v>Rob</v>
      </c>
      <c r="J752" t="str">
        <f>INDEX(products!$A$1:$G$49, MATCH(orders!$D752,products!$A$1:$A$49,0), MATCH(J$1,products!$A$1:$G$1,0))</f>
        <v>M</v>
      </c>
      <c r="K752" s="4">
        <f>INDEX(products!$A$1:$G$49, MATCH(orders!$D752,products!$A$1:$A$49,0), MATCH(K$1,products!$A$1:$G$1,0))</f>
        <v>0.5</v>
      </c>
      <c r="L752" s="5">
        <f>INDEX(products!$A$1:$G$49, MATCH(orders!$D752,products!$A$1:$A$49,0), MATCH(L$1,products!$A$1:$G$1,0))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 = 0, "", _xlfn.XLOOKUP(C753,customers!$A$1:$A$1001,customers!$C$1:$C$1001,,0))</f>
        <v>vshoebothamkv@redcross.org</v>
      </c>
      <c r="H753" s="2" t="str">
        <f>_xlfn.XLOOKUP(C753,customers!$A$1:$A$1001,customers!$G$1:$G$1001,,0)</f>
        <v>United States</v>
      </c>
      <c r="I753" t="str">
        <f>INDEX(products!$A$1:$G$49, MATCH(orders!$D753,products!$A$1:$A$49,0), MATCH(I$1,products!$A$1:$G$1,0))</f>
        <v>Lib</v>
      </c>
      <c r="J753" t="str">
        <f>INDEX(products!$A$1:$G$49, MATCH(orders!$D753,products!$A$1:$A$49,0), MATCH(J$1,products!$A$1:$G$1,0))</f>
        <v>L</v>
      </c>
      <c r="K753" s="4">
        <f>INDEX(products!$A$1:$G$49, MATCH(orders!$D753,products!$A$1:$A$49,0), MATCH(K$1,products!$A$1:$G$1,0))</f>
        <v>0.5</v>
      </c>
      <c r="L753" s="5">
        <f>INDEX(products!$A$1:$G$49, MATCH(orders!$D753,products!$A$1:$A$49,0), MATCH(L$1,products!$A$1:$G$1,0))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 = 0, "", _xlfn.XLOOKUP(C754,customers!$A$1:$A$1001,customers!$C$1:$C$1001,,0))</f>
        <v>bsterkekw@biblegateway.com</v>
      </c>
      <c r="H754" s="2" t="str">
        <f>_xlfn.XLOOKUP(C754,customers!$A$1:$A$1001,customers!$G$1:$G$1001,,0)</f>
        <v>United States</v>
      </c>
      <c r="I754" t="str">
        <f>INDEX(products!$A$1:$G$49, MATCH(orders!$D754,products!$A$1:$A$49,0), MATCH(I$1,products!$A$1:$G$1,0))</f>
        <v>Exc</v>
      </c>
      <c r="J754" t="str">
        <f>INDEX(products!$A$1:$G$49, MATCH(orders!$D754,products!$A$1:$A$49,0), MATCH(J$1,products!$A$1:$G$1,0))</f>
        <v>M</v>
      </c>
      <c r="K754" s="4">
        <f>INDEX(products!$A$1:$G$49, MATCH(orders!$D754,products!$A$1:$A$49,0), MATCH(K$1,products!$A$1:$G$1,0))</f>
        <v>1</v>
      </c>
      <c r="L754" s="5">
        <f>INDEX(products!$A$1:$G$49, MATCH(orders!$D754,products!$A$1:$A$49,0), MATCH(L$1,products!$A$1:$G$1,0))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 = 0, "", _xlfn.XLOOKUP(C755,customers!$A$1:$A$1001,customers!$C$1:$C$1001,,0))</f>
        <v>scaponkx@craigslist.org</v>
      </c>
      <c r="H755" s="2" t="str">
        <f>_xlfn.XLOOKUP(C755,customers!$A$1:$A$1001,customers!$G$1:$G$1001,,0)</f>
        <v>United States</v>
      </c>
      <c r="I755" t="str">
        <f>INDEX(products!$A$1:$G$49, MATCH(orders!$D755,products!$A$1:$A$49,0), MATCH(I$1,products!$A$1:$G$1,0))</f>
        <v>Ara</v>
      </c>
      <c r="J755" t="str">
        <f>INDEX(products!$A$1:$G$49, MATCH(orders!$D755,products!$A$1:$A$49,0), MATCH(J$1,products!$A$1:$G$1,0))</f>
        <v>D</v>
      </c>
      <c r="K755" s="4">
        <f>INDEX(products!$A$1:$G$49, MATCH(orders!$D755,products!$A$1:$A$49,0), MATCH(K$1,products!$A$1:$G$1,0))</f>
        <v>0.5</v>
      </c>
      <c r="L755" s="5">
        <f>INDEX(products!$A$1:$G$49, MATCH(orders!$D755,products!$A$1:$A$49,0), MATCH(L$1,products!$A$1:$G$1,0))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 = 0, "", _xlfn.XLOOKUP(C756,customers!$A$1:$A$1001,customers!$C$1:$C$1001,,0))</f>
        <v>jdymokeje@prnewswire.com</v>
      </c>
      <c r="H756" s="2" t="str">
        <f>_xlfn.XLOOKUP(C756,customers!$A$1:$A$1001,customers!$G$1:$G$1001,,0)</f>
        <v>Ireland</v>
      </c>
      <c r="I756" t="str">
        <f>INDEX(products!$A$1:$G$49, MATCH(orders!$D756,products!$A$1:$A$49,0), MATCH(I$1,products!$A$1:$G$1,0))</f>
        <v>Ara</v>
      </c>
      <c r="J756" t="str">
        <f>INDEX(products!$A$1:$G$49, MATCH(orders!$D756,products!$A$1:$A$49,0), MATCH(J$1,products!$A$1:$G$1,0))</f>
        <v>D</v>
      </c>
      <c r="K756" s="4">
        <f>INDEX(products!$A$1:$G$49, MATCH(orders!$D756,products!$A$1:$A$49,0), MATCH(K$1,products!$A$1:$G$1,0))</f>
        <v>0.2</v>
      </c>
      <c r="L756" s="5">
        <f>INDEX(products!$A$1:$G$49, MATCH(orders!$D756,products!$A$1:$A$49,0), MATCH(L$1,products!$A$1:$G$1,0))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 = 0, "", _xlfn.XLOOKUP(C757,customers!$A$1:$A$1001,customers!$C$1:$C$1001,,0))</f>
        <v>fconstancekz@ifeng.com</v>
      </c>
      <c r="H757" s="2" t="str">
        <f>_xlfn.XLOOKUP(C757,customers!$A$1:$A$1001,customers!$G$1:$G$1001,,0)</f>
        <v>United States</v>
      </c>
      <c r="I757" t="str">
        <f>INDEX(products!$A$1:$G$49, MATCH(orders!$D757,products!$A$1:$A$49,0), MATCH(I$1,products!$A$1:$G$1,0))</f>
        <v>Lib</v>
      </c>
      <c r="J757" t="str">
        <f>INDEX(products!$A$1:$G$49, MATCH(orders!$D757,products!$A$1:$A$49,0), MATCH(J$1,products!$A$1:$G$1,0))</f>
        <v>L</v>
      </c>
      <c r="K757" s="4">
        <f>INDEX(products!$A$1:$G$49, MATCH(orders!$D757,products!$A$1:$A$49,0), MATCH(K$1,products!$A$1:$G$1,0))</f>
        <v>0.2</v>
      </c>
      <c r="L757" s="5">
        <f>INDEX(products!$A$1:$G$49, MATCH(orders!$D757,products!$A$1:$A$49,0), MATCH(L$1,products!$A$1:$G$1,0))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 = 0, "", _xlfn.XLOOKUP(C758,customers!$A$1:$A$1001,customers!$C$1:$C$1001,,0))</f>
        <v>fsulmanl0@washington.edu</v>
      </c>
      <c r="H758" s="2" t="str">
        <f>_xlfn.XLOOKUP(C758,customers!$A$1:$A$1001,customers!$G$1:$G$1001,,0)</f>
        <v>United States</v>
      </c>
      <c r="I758" t="str">
        <f>INDEX(products!$A$1:$G$49, MATCH(orders!$D758,products!$A$1:$A$49,0), MATCH(I$1,products!$A$1:$G$1,0))</f>
        <v>Rob</v>
      </c>
      <c r="J758" t="str">
        <f>INDEX(products!$A$1:$G$49, MATCH(orders!$D758,products!$A$1:$A$49,0), MATCH(J$1,products!$A$1:$G$1,0))</f>
        <v>D</v>
      </c>
      <c r="K758" s="4">
        <f>INDEX(products!$A$1:$G$49, MATCH(orders!$D758,products!$A$1:$A$49,0), MATCH(K$1,products!$A$1:$G$1,0))</f>
        <v>1</v>
      </c>
      <c r="L758" s="5">
        <f>INDEX(products!$A$1:$G$49, MATCH(orders!$D758,products!$A$1:$A$49,0), MATCH(L$1,products!$A$1:$G$1,0))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 = 0, "", _xlfn.XLOOKUP(C759,customers!$A$1:$A$1001,customers!$C$1:$C$1001,,0))</f>
        <v>dhollymanl1@ibm.com</v>
      </c>
      <c r="H759" s="2" t="str">
        <f>_xlfn.XLOOKUP(C759,customers!$A$1:$A$1001,customers!$G$1:$G$1001,,0)</f>
        <v>United States</v>
      </c>
      <c r="I759" t="str">
        <f>INDEX(products!$A$1:$G$49, MATCH(orders!$D759,products!$A$1:$A$49,0), MATCH(I$1,products!$A$1:$G$1,0))</f>
        <v>Ara</v>
      </c>
      <c r="J759" t="str">
        <f>INDEX(products!$A$1:$G$49, MATCH(orders!$D759,products!$A$1:$A$49,0), MATCH(J$1,products!$A$1:$G$1,0))</f>
        <v>D</v>
      </c>
      <c r="K759" s="4">
        <f>INDEX(products!$A$1:$G$49, MATCH(orders!$D759,products!$A$1:$A$49,0), MATCH(K$1,products!$A$1:$G$1,0))</f>
        <v>0.5</v>
      </c>
      <c r="L759" s="5">
        <f>INDEX(products!$A$1:$G$49, MATCH(orders!$D759,products!$A$1:$A$49,0), MATCH(L$1,products!$A$1:$G$1,0))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 = 0, "", _xlfn.XLOOKUP(C760,customers!$A$1:$A$1001,customers!$C$1:$C$1001,,0))</f>
        <v>lnardonil2@hao123.com</v>
      </c>
      <c r="H760" s="2" t="str">
        <f>_xlfn.XLOOKUP(C760,customers!$A$1:$A$1001,customers!$G$1:$G$1001,,0)</f>
        <v>United States</v>
      </c>
      <c r="I760" t="str">
        <f>INDEX(products!$A$1:$G$49, MATCH(orders!$D760,products!$A$1:$A$49,0), MATCH(I$1,products!$A$1:$G$1,0))</f>
        <v>Rob</v>
      </c>
      <c r="J760" t="str">
        <f>INDEX(products!$A$1:$G$49, MATCH(orders!$D760,products!$A$1:$A$49,0), MATCH(J$1,products!$A$1:$G$1,0))</f>
        <v>D</v>
      </c>
      <c r="K760" s="4">
        <f>INDEX(products!$A$1:$G$49, MATCH(orders!$D760,products!$A$1:$A$49,0), MATCH(K$1,products!$A$1:$G$1,0))</f>
        <v>1</v>
      </c>
      <c r="L760" s="5">
        <f>INDEX(products!$A$1:$G$49, MATCH(orders!$D760,products!$A$1:$A$49,0), MATCH(L$1,products!$A$1:$G$1,0))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 = 0, "", _xlfn.XLOOKUP(C761,customers!$A$1:$A$1001,customers!$C$1:$C$1001,,0))</f>
        <v>dyarhaml3@moonfruit.com</v>
      </c>
      <c r="H761" s="2" t="str">
        <f>_xlfn.XLOOKUP(C761,customers!$A$1:$A$1001,customers!$G$1:$G$1001,,0)</f>
        <v>United States</v>
      </c>
      <c r="I761" t="str">
        <f>INDEX(products!$A$1:$G$49, MATCH(orders!$D761,products!$A$1:$A$49,0), MATCH(I$1,products!$A$1:$G$1,0))</f>
        <v>Lib</v>
      </c>
      <c r="J761" t="str">
        <f>INDEX(products!$A$1:$G$49, MATCH(orders!$D761,products!$A$1:$A$49,0), MATCH(J$1,products!$A$1:$G$1,0))</f>
        <v>D</v>
      </c>
      <c r="K761" s="4">
        <f>INDEX(products!$A$1:$G$49, MATCH(orders!$D761,products!$A$1:$A$49,0), MATCH(K$1,products!$A$1:$G$1,0))</f>
        <v>2.5</v>
      </c>
      <c r="L761" s="5">
        <f>INDEX(products!$A$1:$G$49, MATCH(orders!$D761,products!$A$1:$A$49,0), MATCH(L$1,products!$A$1:$G$1,0))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 = 0, "", _xlfn.XLOOKUP(C762,customers!$A$1:$A$1001,customers!$C$1:$C$1001,,0))</f>
        <v>aferreal4@wikia.com</v>
      </c>
      <c r="H762" s="2" t="str">
        <f>_xlfn.XLOOKUP(C762,customers!$A$1:$A$1001,customers!$G$1:$G$1001,,0)</f>
        <v>United States</v>
      </c>
      <c r="I762" t="str">
        <f>INDEX(products!$A$1:$G$49, MATCH(orders!$D762,products!$A$1:$A$49,0), MATCH(I$1,products!$A$1:$G$1,0))</f>
        <v>Exc</v>
      </c>
      <c r="J762" t="str">
        <f>INDEX(products!$A$1:$G$49, MATCH(orders!$D762,products!$A$1:$A$49,0), MATCH(J$1,products!$A$1:$G$1,0))</f>
        <v>L</v>
      </c>
      <c r="K762" s="4">
        <f>INDEX(products!$A$1:$G$49, MATCH(orders!$D762,products!$A$1:$A$49,0), MATCH(K$1,products!$A$1:$G$1,0))</f>
        <v>0.5</v>
      </c>
      <c r="L762" s="5">
        <f>INDEX(products!$A$1:$G$49, MATCH(orders!$D762,products!$A$1:$A$49,0), MATCH(L$1,products!$A$1:$G$1,0))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 = 0, "", _xlfn.XLOOKUP(C763,customers!$A$1:$A$1001,customers!$C$1:$C$1001,,0))</f>
        <v>ckendrickl5@webnode.com</v>
      </c>
      <c r="H763" s="2" t="str">
        <f>_xlfn.XLOOKUP(C763,customers!$A$1:$A$1001,customers!$G$1:$G$1001,,0)</f>
        <v>United States</v>
      </c>
      <c r="I763" t="str">
        <f>INDEX(products!$A$1:$G$49, MATCH(orders!$D763,products!$A$1:$A$49,0), MATCH(I$1,products!$A$1:$G$1,0))</f>
        <v>Exc</v>
      </c>
      <c r="J763" t="str">
        <f>INDEX(products!$A$1:$G$49, MATCH(orders!$D763,products!$A$1:$A$49,0), MATCH(J$1,products!$A$1:$G$1,0))</f>
        <v>L</v>
      </c>
      <c r="K763" s="4">
        <f>INDEX(products!$A$1:$G$49, MATCH(orders!$D763,products!$A$1:$A$49,0), MATCH(K$1,products!$A$1:$G$1,0))</f>
        <v>1</v>
      </c>
      <c r="L763" s="5">
        <f>INDEX(products!$A$1:$G$49, MATCH(orders!$D763,products!$A$1:$A$49,0), MATCH(L$1,products!$A$1:$G$1,0))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 = 0, "", _xlfn.XLOOKUP(C764,customers!$A$1:$A$1001,customers!$C$1:$C$1001,,0))</f>
        <v>sdanilchikl6@mit.edu</v>
      </c>
      <c r="H764" s="2" t="str">
        <f>_xlfn.XLOOKUP(C764,customers!$A$1:$A$1001,customers!$G$1:$G$1001,,0)</f>
        <v>United Kingdom</v>
      </c>
      <c r="I764" t="str">
        <f>INDEX(products!$A$1:$G$49, MATCH(orders!$D764,products!$A$1:$A$49,0), MATCH(I$1,products!$A$1:$G$1,0))</f>
        <v>Lib</v>
      </c>
      <c r="J764" t="str">
        <f>INDEX(products!$A$1:$G$49, MATCH(orders!$D764,products!$A$1:$A$49,0), MATCH(J$1,products!$A$1:$G$1,0))</f>
        <v>M</v>
      </c>
      <c r="K764" s="4">
        <f>INDEX(products!$A$1:$G$49, MATCH(orders!$D764,products!$A$1:$A$49,0), MATCH(K$1,products!$A$1:$G$1,0))</f>
        <v>0.5</v>
      </c>
      <c r="L764" s="5">
        <f>INDEX(products!$A$1:$G$49, MATCH(orders!$D764,products!$A$1:$A$49,0), MATCH(L$1,products!$A$1:$G$1,0))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 = 0, "", _xlfn.XLOOKUP(C765,customers!$A$1:$A$1001,customers!$C$1:$C$1001,,0))</f>
        <v/>
      </c>
      <c r="H765" s="2" t="str">
        <f>_xlfn.XLOOKUP(C765,customers!$A$1:$A$1001,customers!$G$1:$G$1001,,0)</f>
        <v>United States</v>
      </c>
      <c r="I765" t="str">
        <f>INDEX(products!$A$1:$G$49, MATCH(orders!$D765,products!$A$1:$A$49,0), MATCH(I$1,products!$A$1:$G$1,0))</f>
        <v>Ara</v>
      </c>
      <c r="J765" t="str">
        <f>INDEX(products!$A$1:$G$49, MATCH(orders!$D765,products!$A$1:$A$49,0), MATCH(J$1,products!$A$1:$G$1,0))</f>
        <v>L</v>
      </c>
      <c r="K765" s="4">
        <f>INDEX(products!$A$1:$G$49, MATCH(orders!$D765,products!$A$1:$A$49,0), MATCH(K$1,products!$A$1:$G$1,0))</f>
        <v>0.5</v>
      </c>
      <c r="L765" s="5">
        <f>INDEX(products!$A$1:$G$49, MATCH(orders!$D765,products!$A$1:$A$49,0), MATCH(L$1,products!$A$1:$G$1,0))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 = 0, "", _xlfn.XLOOKUP(C766,customers!$A$1:$A$1001,customers!$C$1:$C$1001,,0))</f>
        <v>bfolomkinl8@yolasite.com</v>
      </c>
      <c r="H766" s="2" t="str">
        <f>_xlfn.XLOOKUP(C766,customers!$A$1:$A$1001,customers!$G$1:$G$1001,,0)</f>
        <v>United States</v>
      </c>
      <c r="I766" t="str">
        <f>INDEX(products!$A$1:$G$49, MATCH(orders!$D766,products!$A$1:$A$49,0), MATCH(I$1,products!$A$1:$G$1,0))</f>
        <v>Ara</v>
      </c>
      <c r="J766" t="str">
        <f>INDEX(products!$A$1:$G$49, MATCH(orders!$D766,products!$A$1:$A$49,0), MATCH(J$1,products!$A$1:$G$1,0))</f>
        <v>L</v>
      </c>
      <c r="K766" s="4">
        <f>INDEX(products!$A$1:$G$49, MATCH(orders!$D766,products!$A$1:$A$49,0), MATCH(K$1,products!$A$1:$G$1,0))</f>
        <v>2.5</v>
      </c>
      <c r="L766" s="5">
        <f>INDEX(products!$A$1:$G$49, MATCH(orders!$D766,products!$A$1:$A$49,0), MATCH(L$1,products!$A$1:$G$1,0))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 = 0, "", _xlfn.XLOOKUP(C767,customers!$A$1:$A$1001,customers!$C$1:$C$1001,,0))</f>
        <v>rpursglovel9@biblegateway.com</v>
      </c>
      <c r="H767" s="2" t="str">
        <f>_xlfn.XLOOKUP(C767,customers!$A$1:$A$1001,customers!$G$1:$G$1001,,0)</f>
        <v>United States</v>
      </c>
      <c r="I767" t="str">
        <f>INDEX(products!$A$1:$G$49, MATCH(orders!$D767,products!$A$1:$A$49,0), MATCH(I$1,products!$A$1:$G$1,0))</f>
        <v>Rob</v>
      </c>
      <c r="J767" t="str">
        <f>INDEX(products!$A$1:$G$49, MATCH(orders!$D767,products!$A$1:$A$49,0), MATCH(J$1,products!$A$1:$G$1,0))</f>
        <v>M</v>
      </c>
      <c r="K767" s="4">
        <f>INDEX(products!$A$1:$G$49, MATCH(orders!$D767,products!$A$1:$A$49,0), MATCH(K$1,products!$A$1:$G$1,0))</f>
        <v>1</v>
      </c>
      <c r="L767" s="5">
        <f>INDEX(products!$A$1:$G$49, MATCH(orders!$D767,products!$A$1:$A$49,0), MATCH(L$1,products!$A$1:$G$1,0))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 = 0, "", _xlfn.XLOOKUP(C768,customers!$A$1:$A$1001,customers!$C$1:$C$1001,,0))</f>
        <v>rpursglovel9@biblegateway.com</v>
      </c>
      <c r="H768" s="2" t="str">
        <f>_xlfn.XLOOKUP(C768,customers!$A$1:$A$1001,customers!$G$1:$G$1001,,0)</f>
        <v>United States</v>
      </c>
      <c r="I768" t="str">
        <f>INDEX(products!$A$1:$G$49, MATCH(orders!$D768,products!$A$1:$A$49,0), MATCH(I$1,products!$A$1:$G$1,0))</f>
        <v>Ara</v>
      </c>
      <c r="J768" t="str">
        <f>INDEX(products!$A$1:$G$49, MATCH(orders!$D768,products!$A$1:$A$49,0), MATCH(J$1,products!$A$1:$G$1,0))</f>
        <v>L</v>
      </c>
      <c r="K768" s="4">
        <f>INDEX(products!$A$1:$G$49, MATCH(orders!$D768,products!$A$1:$A$49,0), MATCH(K$1,products!$A$1:$G$1,0))</f>
        <v>0.5</v>
      </c>
      <c r="L768" s="5">
        <f>INDEX(products!$A$1:$G$49, MATCH(orders!$D768,products!$A$1:$A$49,0), MATCH(L$1,products!$A$1:$G$1,0))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 = 0, "", _xlfn.XLOOKUP(C769,customers!$A$1:$A$1001,customers!$C$1:$C$1001,,0))</f>
        <v>fconstancekz@ifeng.com</v>
      </c>
      <c r="H769" s="2" t="str">
        <f>_xlfn.XLOOKUP(C769,customers!$A$1:$A$1001,customers!$G$1:$G$1001,,0)</f>
        <v>United States</v>
      </c>
      <c r="I769" t="str">
        <f>INDEX(products!$A$1:$G$49, MATCH(orders!$D769,products!$A$1:$A$49,0), MATCH(I$1,products!$A$1:$G$1,0))</f>
        <v>Ara</v>
      </c>
      <c r="J769" t="str">
        <f>INDEX(products!$A$1:$G$49, MATCH(orders!$D769,products!$A$1:$A$49,0), MATCH(J$1,products!$A$1:$G$1,0))</f>
        <v>L</v>
      </c>
      <c r="K769" s="4">
        <f>INDEX(products!$A$1:$G$49, MATCH(orders!$D769,products!$A$1:$A$49,0), MATCH(K$1,products!$A$1:$G$1,0))</f>
        <v>2.5</v>
      </c>
      <c r="L769" s="5">
        <f>INDEX(products!$A$1:$G$49, MATCH(orders!$D769,products!$A$1:$A$49,0), MATCH(L$1,products!$A$1:$G$1,0))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 = 0, "", _xlfn.XLOOKUP(C770,customers!$A$1:$A$1001,customers!$C$1:$C$1001,,0))</f>
        <v>fconstancekz@ifeng.com</v>
      </c>
      <c r="H770" s="2" t="str">
        <f>_xlfn.XLOOKUP(C770,customers!$A$1:$A$1001,customers!$G$1:$G$1001,,0)</f>
        <v>United States</v>
      </c>
      <c r="I770" t="str">
        <f>INDEX(products!$A$1:$G$49, MATCH(orders!$D770,products!$A$1:$A$49,0), MATCH(I$1,products!$A$1:$G$1,0))</f>
        <v>Rob</v>
      </c>
      <c r="J770" t="str">
        <f>INDEX(products!$A$1:$G$49, MATCH(orders!$D770,products!$A$1:$A$49,0), MATCH(J$1,products!$A$1:$G$1,0))</f>
        <v>L</v>
      </c>
      <c r="K770" s="4">
        <f>INDEX(products!$A$1:$G$49, MATCH(orders!$D770,products!$A$1:$A$49,0), MATCH(K$1,products!$A$1:$G$1,0))</f>
        <v>1</v>
      </c>
      <c r="L770" s="5">
        <f>INDEX(products!$A$1:$G$49, MATCH(orders!$D770,products!$A$1:$A$49,0), MATCH(L$1,products!$A$1:$G$1,0))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 = 0, "", _xlfn.XLOOKUP(C771,customers!$A$1:$A$1001,customers!$C$1:$C$1001,,0))</f>
        <v>deburahld@google.co.jp</v>
      </c>
      <c r="H771" s="2" t="str">
        <f>_xlfn.XLOOKUP(C771,customers!$A$1:$A$1001,customers!$G$1:$G$1001,,0)</f>
        <v>United Kingdom</v>
      </c>
      <c r="I771" t="str">
        <f>INDEX(products!$A$1:$G$49, MATCH(orders!$D771,products!$A$1:$A$49,0), MATCH(I$1,products!$A$1:$G$1,0))</f>
        <v>Rob</v>
      </c>
      <c r="J771" t="str">
        <f>INDEX(products!$A$1:$G$49, MATCH(orders!$D771,products!$A$1:$A$49,0), MATCH(J$1,products!$A$1:$G$1,0))</f>
        <v>M</v>
      </c>
      <c r="K771" s="4">
        <f>INDEX(products!$A$1:$G$49, MATCH(orders!$D771,products!$A$1:$A$49,0), MATCH(K$1,products!$A$1:$G$1,0))</f>
        <v>2.5</v>
      </c>
      <c r="L771" s="5">
        <f>INDEX(products!$A$1:$G$49, MATCH(orders!$D771,products!$A$1:$A$49,0), MATCH(L$1,products!$A$1:$G$1,0))</f>
        <v>22.884999999999998</v>
      </c>
      <c r="M771" s="5">
        <f t="shared" ref="M771:M834" si="36">L771*E771</f>
        <v>137.31</v>
      </c>
      <c r="N771" t="str">
        <f t="shared" ref="N771:N834" si="37">IF(I771="Rob", "Robusta", IF(I771 = "Exc", "Excelsa", IF(I771 = "Ara", "Arabica", IF(I771 = "Lib", "Liberica", ""))))</f>
        <v>Robusta</v>
      </c>
      <c r="O771" t="str">
        <f t="shared" ref="O771:O834" si="38">IF(J771 = "M", "Medium", IF(J771 = "L", "Light", IF( J771 = "D", "Dark", "")))</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 = 0, "", _xlfn.XLOOKUP(C772,customers!$A$1:$A$1001,customers!$C$1:$C$1001,,0))</f>
        <v>mbrimilcombele@cnn.com</v>
      </c>
      <c r="H772" s="2" t="str">
        <f>_xlfn.XLOOKUP(C772,customers!$A$1:$A$1001,customers!$G$1:$G$1001,,0)</f>
        <v>United States</v>
      </c>
      <c r="I772" t="str">
        <f>INDEX(products!$A$1:$G$49, MATCH(orders!$D772,products!$A$1:$A$49,0), MATCH(I$1,products!$A$1:$G$1,0))</f>
        <v>Ara</v>
      </c>
      <c r="J772" t="str">
        <f>INDEX(products!$A$1:$G$49, MATCH(orders!$D772,products!$A$1:$A$49,0), MATCH(J$1,products!$A$1:$G$1,0))</f>
        <v>D</v>
      </c>
      <c r="K772" s="4">
        <f>INDEX(products!$A$1:$G$49, MATCH(orders!$D772,products!$A$1:$A$49,0), MATCH(K$1,products!$A$1:$G$1,0))</f>
        <v>1</v>
      </c>
      <c r="L772" s="5">
        <f>INDEX(products!$A$1:$G$49, MATCH(orders!$D772,products!$A$1:$A$49,0), MATCH(L$1,products!$A$1:$G$1,0))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 = 0, "", _xlfn.XLOOKUP(C773,customers!$A$1:$A$1001,customers!$C$1:$C$1001,,0))</f>
        <v>sbollamlf@list-manage.com</v>
      </c>
      <c r="H773" s="2" t="str">
        <f>_xlfn.XLOOKUP(C773,customers!$A$1:$A$1001,customers!$G$1:$G$1001,,0)</f>
        <v>United States</v>
      </c>
      <c r="I773" t="str">
        <f>INDEX(products!$A$1:$G$49, MATCH(orders!$D773,products!$A$1:$A$49,0), MATCH(I$1,products!$A$1:$G$1,0))</f>
        <v>Rob</v>
      </c>
      <c r="J773" t="str">
        <f>INDEX(products!$A$1:$G$49, MATCH(orders!$D773,products!$A$1:$A$49,0), MATCH(J$1,products!$A$1:$G$1,0))</f>
        <v>L</v>
      </c>
      <c r="K773" s="4">
        <f>INDEX(products!$A$1:$G$49, MATCH(orders!$D773,products!$A$1:$A$49,0), MATCH(K$1,products!$A$1:$G$1,0))</f>
        <v>0.5</v>
      </c>
      <c r="L773" s="5">
        <f>INDEX(products!$A$1:$G$49, MATCH(orders!$D773,products!$A$1:$A$49,0), MATCH(L$1,products!$A$1:$G$1,0))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 = 0, "", _xlfn.XLOOKUP(C774,customers!$A$1:$A$1001,customers!$C$1:$C$1001,,0))</f>
        <v/>
      </c>
      <c r="H774" s="2" t="str">
        <f>_xlfn.XLOOKUP(C774,customers!$A$1:$A$1001,customers!$G$1:$G$1001,,0)</f>
        <v>United States</v>
      </c>
      <c r="I774" t="str">
        <f>INDEX(products!$A$1:$G$49, MATCH(orders!$D774,products!$A$1:$A$49,0), MATCH(I$1,products!$A$1:$G$1,0))</f>
        <v>Exc</v>
      </c>
      <c r="J774" t="str">
        <f>INDEX(products!$A$1:$G$49, MATCH(orders!$D774,products!$A$1:$A$49,0), MATCH(J$1,products!$A$1:$G$1,0))</f>
        <v>M</v>
      </c>
      <c r="K774" s="4">
        <f>INDEX(products!$A$1:$G$49, MATCH(orders!$D774,products!$A$1:$A$49,0), MATCH(K$1,products!$A$1:$G$1,0))</f>
        <v>1</v>
      </c>
      <c r="L774" s="5">
        <f>INDEX(products!$A$1:$G$49, MATCH(orders!$D774,products!$A$1:$A$49,0), MATCH(L$1,products!$A$1:$G$1,0))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 = 0, "", _xlfn.XLOOKUP(C775,customers!$A$1:$A$1001,customers!$C$1:$C$1001,,0))</f>
        <v>afilipczaklh@ning.com</v>
      </c>
      <c r="H775" s="2" t="str">
        <f>_xlfn.XLOOKUP(C775,customers!$A$1:$A$1001,customers!$G$1:$G$1001,,0)</f>
        <v>Ireland</v>
      </c>
      <c r="I775" t="str">
        <f>INDEX(products!$A$1:$G$49, MATCH(orders!$D775,products!$A$1:$A$49,0), MATCH(I$1,products!$A$1:$G$1,0))</f>
        <v>Lib</v>
      </c>
      <c r="J775" t="str">
        <f>INDEX(products!$A$1:$G$49, MATCH(orders!$D775,products!$A$1:$A$49,0), MATCH(J$1,products!$A$1:$G$1,0))</f>
        <v>M</v>
      </c>
      <c r="K775" s="4">
        <f>INDEX(products!$A$1:$G$49, MATCH(orders!$D775,products!$A$1:$A$49,0), MATCH(K$1,products!$A$1:$G$1,0))</f>
        <v>0.2</v>
      </c>
      <c r="L775" s="5">
        <f>INDEX(products!$A$1:$G$49, MATCH(orders!$D775,products!$A$1:$A$49,0), MATCH(L$1,products!$A$1:$G$1,0))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 = 0, "", _xlfn.XLOOKUP(C776,customers!$A$1:$A$1001,customers!$C$1:$C$1001,,0))</f>
        <v/>
      </c>
      <c r="H776" s="2" t="str">
        <f>_xlfn.XLOOKUP(C776,customers!$A$1:$A$1001,customers!$G$1:$G$1001,,0)</f>
        <v>United States</v>
      </c>
      <c r="I776" t="str">
        <f>INDEX(products!$A$1:$G$49, MATCH(orders!$D776,products!$A$1:$A$49,0), MATCH(I$1,products!$A$1:$G$1,0))</f>
        <v>Rob</v>
      </c>
      <c r="J776" t="str">
        <f>INDEX(products!$A$1:$G$49, MATCH(orders!$D776,products!$A$1:$A$49,0), MATCH(J$1,products!$A$1:$G$1,0))</f>
        <v>M</v>
      </c>
      <c r="K776" s="4">
        <f>INDEX(products!$A$1:$G$49, MATCH(orders!$D776,products!$A$1:$A$49,0), MATCH(K$1,products!$A$1:$G$1,0))</f>
        <v>1</v>
      </c>
      <c r="L776" s="5">
        <f>INDEX(products!$A$1:$G$49, MATCH(orders!$D776,products!$A$1:$A$49,0), MATCH(L$1,products!$A$1:$G$1,0))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 = 0, "", _xlfn.XLOOKUP(C777,customers!$A$1:$A$1001,customers!$C$1:$C$1001,,0))</f>
        <v>relnaughlj@comsenz.com</v>
      </c>
      <c r="H777" s="2" t="str">
        <f>_xlfn.XLOOKUP(C777,customers!$A$1:$A$1001,customers!$G$1:$G$1001,,0)</f>
        <v>United States</v>
      </c>
      <c r="I777" t="str">
        <f>INDEX(products!$A$1:$G$49, MATCH(orders!$D777,products!$A$1:$A$49,0), MATCH(I$1,products!$A$1:$G$1,0))</f>
        <v>Exc</v>
      </c>
      <c r="J777" t="str">
        <f>INDEX(products!$A$1:$G$49, MATCH(orders!$D777,products!$A$1:$A$49,0), MATCH(J$1,products!$A$1:$G$1,0))</f>
        <v>L</v>
      </c>
      <c r="K777" s="4">
        <f>INDEX(products!$A$1:$G$49, MATCH(orders!$D777,products!$A$1:$A$49,0), MATCH(K$1,products!$A$1:$G$1,0))</f>
        <v>0.5</v>
      </c>
      <c r="L777" s="5">
        <f>INDEX(products!$A$1:$G$49, MATCH(orders!$D777,products!$A$1:$A$49,0), MATCH(L$1,products!$A$1:$G$1,0))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 = 0, "", _xlfn.XLOOKUP(C778,customers!$A$1:$A$1001,customers!$C$1:$C$1001,,0))</f>
        <v>jdeehanlk@about.me</v>
      </c>
      <c r="H778" s="2" t="str">
        <f>_xlfn.XLOOKUP(C778,customers!$A$1:$A$1001,customers!$G$1:$G$1001,,0)</f>
        <v>United States</v>
      </c>
      <c r="I778" t="str">
        <f>INDEX(products!$A$1:$G$49, MATCH(orders!$D778,products!$A$1:$A$49,0), MATCH(I$1,products!$A$1:$G$1,0))</f>
        <v>Ara</v>
      </c>
      <c r="J778" t="str">
        <f>INDEX(products!$A$1:$G$49, MATCH(orders!$D778,products!$A$1:$A$49,0), MATCH(J$1,products!$A$1:$G$1,0))</f>
        <v>M</v>
      </c>
      <c r="K778" s="4">
        <f>INDEX(products!$A$1:$G$49, MATCH(orders!$D778,products!$A$1:$A$49,0), MATCH(K$1,products!$A$1:$G$1,0))</f>
        <v>0.5</v>
      </c>
      <c r="L778" s="5">
        <f>INDEX(products!$A$1:$G$49, MATCH(orders!$D778,products!$A$1:$A$49,0), MATCH(L$1,products!$A$1:$G$1,0))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 = 0, "", _xlfn.XLOOKUP(C779,customers!$A$1:$A$1001,customers!$C$1:$C$1001,,0))</f>
        <v>jedenll@e-recht24.de</v>
      </c>
      <c r="H779" s="2" t="str">
        <f>_xlfn.XLOOKUP(C779,customers!$A$1:$A$1001,customers!$G$1:$G$1001,,0)</f>
        <v>United States</v>
      </c>
      <c r="I779" t="str">
        <f>INDEX(products!$A$1:$G$49, MATCH(orders!$D779,products!$A$1:$A$49,0), MATCH(I$1,products!$A$1:$G$1,0))</f>
        <v>Ara</v>
      </c>
      <c r="J779" t="str">
        <f>INDEX(products!$A$1:$G$49, MATCH(orders!$D779,products!$A$1:$A$49,0), MATCH(J$1,products!$A$1:$G$1,0))</f>
        <v>L</v>
      </c>
      <c r="K779" s="4">
        <f>INDEX(products!$A$1:$G$49, MATCH(orders!$D779,products!$A$1:$A$49,0), MATCH(K$1,products!$A$1:$G$1,0))</f>
        <v>2.5</v>
      </c>
      <c r="L779" s="5">
        <f>INDEX(products!$A$1:$G$49, MATCH(orders!$D779,products!$A$1:$A$49,0), MATCH(L$1,products!$A$1:$G$1,0))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 = 0, "", _xlfn.XLOOKUP(C780,customers!$A$1:$A$1001,customers!$C$1:$C$1001,,0))</f>
        <v>cjewsterlu@moonfruit.com</v>
      </c>
      <c r="H780" s="2" t="str">
        <f>_xlfn.XLOOKUP(C780,customers!$A$1:$A$1001,customers!$G$1:$G$1001,,0)</f>
        <v>United States</v>
      </c>
      <c r="I780" t="str">
        <f>INDEX(products!$A$1:$G$49, MATCH(orders!$D780,products!$A$1:$A$49,0), MATCH(I$1,products!$A$1:$G$1,0))</f>
        <v>Lib</v>
      </c>
      <c r="J780" t="str">
        <f>INDEX(products!$A$1:$G$49, MATCH(orders!$D780,products!$A$1:$A$49,0), MATCH(J$1,products!$A$1:$G$1,0))</f>
        <v>L</v>
      </c>
      <c r="K780" s="4">
        <f>INDEX(products!$A$1:$G$49, MATCH(orders!$D780,products!$A$1:$A$49,0), MATCH(K$1,products!$A$1:$G$1,0))</f>
        <v>0.5</v>
      </c>
      <c r="L780" s="5">
        <f>INDEX(products!$A$1:$G$49, MATCH(orders!$D780,products!$A$1:$A$49,0), MATCH(L$1,products!$A$1:$G$1,0))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 = 0, "", _xlfn.XLOOKUP(C781,customers!$A$1:$A$1001,customers!$C$1:$C$1001,,0))</f>
        <v>usoutherdenln@hao123.com</v>
      </c>
      <c r="H781" s="2" t="str">
        <f>_xlfn.XLOOKUP(C781,customers!$A$1:$A$1001,customers!$G$1:$G$1001,,0)</f>
        <v>United States</v>
      </c>
      <c r="I781" t="str">
        <f>INDEX(products!$A$1:$G$49, MATCH(orders!$D781,products!$A$1:$A$49,0), MATCH(I$1,products!$A$1:$G$1,0))</f>
        <v>Lib</v>
      </c>
      <c r="J781" t="str">
        <f>INDEX(products!$A$1:$G$49, MATCH(orders!$D781,products!$A$1:$A$49,0), MATCH(J$1,products!$A$1:$G$1,0))</f>
        <v>D</v>
      </c>
      <c r="K781" s="4">
        <f>INDEX(products!$A$1:$G$49, MATCH(orders!$D781,products!$A$1:$A$49,0), MATCH(K$1,products!$A$1:$G$1,0))</f>
        <v>1</v>
      </c>
      <c r="L781" s="5">
        <f>INDEX(products!$A$1:$G$49, MATCH(orders!$D781,products!$A$1:$A$49,0), MATCH(L$1,products!$A$1:$G$1,0))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 = 0, "", _xlfn.XLOOKUP(C782,customers!$A$1:$A$1001,customers!$C$1:$C$1001,,0))</f>
        <v/>
      </c>
      <c r="H782" s="2" t="str">
        <f>_xlfn.XLOOKUP(C782,customers!$A$1:$A$1001,customers!$G$1:$G$1001,,0)</f>
        <v>United States</v>
      </c>
      <c r="I782" t="str">
        <f>INDEX(products!$A$1:$G$49, MATCH(orders!$D782,products!$A$1:$A$49,0), MATCH(I$1,products!$A$1:$G$1,0))</f>
        <v>Exc</v>
      </c>
      <c r="J782" t="str">
        <f>INDEX(products!$A$1:$G$49, MATCH(orders!$D782,products!$A$1:$A$49,0), MATCH(J$1,products!$A$1:$G$1,0))</f>
        <v>M</v>
      </c>
      <c r="K782" s="4">
        <f>INDEX(products!$A$1:$G$49, MATCH(orders!$D782,products!$A$1:$A$49,0), MATCH(K$1,products!$A$1:$G$1,0))</f>
        <v>1</v>
      </c>
      <c r="L782" s="5">
        <f>INDEX(products!$A$1:$G$49, MATCH(orders!$D782,products!$A$1:$A$49,0), MATCH(L$1,products!$A$1:$G$1,0))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 = 0, "", _xlfn.XLOOKUP(C783,customers!$A$1:$A$1001,customers!$C$1:$C$1001,,0))</f>
        <v>lburtenshawlp@shinystat.com</v>
      </c>
      <c r="H783" s="2" t="str">
        <f>_xlfn.XLOOKUP(C783,customers!$A$1:$A$1001,customers!$G$1:$G$1001,,0)</f>
        <v>United States</v>
      </c>
      <c r="I783" t="str">
        <f>INDEX(products!$A$1:$G$49, MATCH(orders!$D783,products!$A$1:$A$49,0), MATCH(I$1,products!$A$1:$G$1,0))</f>
        <v>Lib</v>
      </c>
      <c r="J783" t="str">
        <f>INDEX(products!$A$1:$G$49, MATCH(orders!$D783,products!$A$1:$A$49,0), MATCH(J$1,products!$A$1:$G$1,0))</f>
        <v>L</v>
      </c>
      <c r="K783" s="4">
        <f>INDEX(products!$A$1:$G$49, MATCH(orders!$D783,products!$A$1:$A$49,0), MATCH(K$1,products!$A$1:$G$1,0))</f>
        <v>2.5</v>
      </c>
      <c r="L783" s="5">
        <f>INDEX(products!$A$1:$G$49, MATCH(orders!$D783,products!$A$1:$A$49,0), MATCH(L$1,products!$A$1:$G$1,0))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 = 0, "", _xlfn.XLOOKUP(C784,customers!$A$1:$A$1001,customers!$C$1:$C$1001,,0))</f>
        <v>agregorattilq@vistaprint.com</v>
      </c>
      <c r="H784" s="2" t="str">
        <f>_xlfn.XLOOKUP(C784,customers!$A$1:$A$1001,customers!$G$1:$G$1001,,0)</f>
        <v>Ireland</v>
      </c>
      <c r="I784" t="str">
        <f>INDEX(products!$A$1:$G$49, MATCH(orders!$D784,products!$A$1:$A$49,0), MATCH(I$1,products!$A$1:$G$1,0))</f>
        <v>Exc</v>
      </c>
      <c r="J784" t="str">
        <f>INDEX(products!$A$1:$G$49, MATCH(orders!$D784,products!$A$1:$A$49,0), MATCH(J$1,products!$A$1:$G$1,0))</f>
        <v>L</v>
      </c>
      <c r="K784" s="4">
        <f>INDEX(products!$A$1:$G$49, MATCH(orders!$D784,products!$A$1:$A$49,0), MATCH(K$1,products!$A$1:$G$1,0))</f>
        <v>0.2</v>
      </c>
      <c r="L784" s="5">
        <f>INDEX(products!$A$1:$G$49, MATCH(orders!$D784,products!$A$1:$A$49,0), MATCH(L$1,products!$A$1:$G$1,0))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 = 0, "", _xlfn.XLOOKUP(C785,customers!$A$1:$A$1001,customers!$C$1:$C$1001,,0))</f>
        <v>ccrosterlr@gov.uk</v>
      </c>
      <c r="H785" s="2" t="str">
        <f>_xlfn.XLOOKUP(C785,customers!$A$1:$A$1001,customers!$G$1:$G$1001,,0)</f>
        <v>United States</v>
      </c>
      <c r="I785" t="str">
        <f>INDEX(products!$A$1:$G$49, MATCH(orders!$D785,products!$A$1:$A$49,0), MATCH(I$1,products!$A$1:$G$1,0))</f>
        <v>Lib</v>
      </c>
      <c r="J785" t="str">
        <f>INDEX(products!$A$1:$G$49, MATCH(orders!$D785,products!$A$1:$A$49,0), MATCH(J$1,products!$A$1:$G$1,0))</f>
        <v>M</v>
      </c>
      <c r="K785" s="4">
        <f>INDEX(products!$A$1:$G$49, MATCH(orders!$D785,products!$A$1:$A$49,0), MATCH(K$1,products!$A$1:$G$1,0))</f>
        <v>0.5</v>
      </c>
      <c r="L785" s="5">
        <f>INDEX(products!$A$1:$G$49, MATCH(orders!$D785,products!$A$1:$A$49,0), MATCH(L$1,products!$A$1:$G$1,0))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 = 0, "", _xlfn.XLOOKUP(C786,customers!$A$1:$A$1001,customers!$C$1:$C$1001,,0))</f>
        <v>gwhiteheadls@hp.com</v>
      </c>
      <c r="H786" s="2" t="str">
        <f>_xlfn.XLOOKUP(C786,customers!$A$1:$A$1001,customers!$G$1:$G$1001,,0)</f>
        <v>United States</v>
      </c>
      <c r="I786" t="str">
        <f>INDEX(products!$A$1:$G$49, MATCH(orders!$D786,products!$A$1:$A$49,0), MATCH(I$1,products!$A$1:$G$1,0))</f>
        <v>Lib</v>
      </c>
      <c r="J786" t="str">
        <f>INDEX(products!$A$1:$G$49, MATCH(orders!$D786,products!$A$1:$A$49,0), MATCH(J$1,products!$A$1:$G$1,0))</f>
        <v>L</v>
      </c>
      <c r="K786" s="4">
        <f>INDEX(products!$A$1:$G$49, MATCH(orders!$D786,products!$A$1:$A$49,0), MATCH(K$1,products!$A$1:$G$1,0))</f>
        <v>1</v>
      </c>
      <c r="L786" s="5">
        <f>INDEX(products!$A$1:$G$49, MATCH(orders!$D786,products!$A$1:$A$49,0), MATCH(L$1,products!$A$1:$G$1,0))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 = 0, "", _xlfn.XLOOKUP(C787,customers!$A$1:$A$1001,customers!$C$1:$C$1001,,0))</f>
        <v>hjodrellelt@samsung.com</v>
      </c>
      <c r="H787" s="2" t="str">
        <f>_xlfn.XLOOKUP(C787,customers!$A$1:$A$1001,customers!$G$1:$G$1001,,0)</f>
        <v>United States</v>
      </c>
      <c r="I787" t="str">
        <f>INDEX(products!$A$1:$G$49, MATCH(orders!$D787,products!$A$1:$A$49,0), MATCH(I$1,products!$A$1:$G$1,0))</f>
        <v>Ara</v>
      </c>
      <c r="J787" t="str">
        <f>INDEX(products!$A$1:$G$49, MATCH(orders!$D787,products!$A$1:$A$49,0), MATCH(J$1,products!$A$1:$G$1,0))</f>
        <v>D</v>
      </c>
      <c r="K787" s="4">
        <f>INDEX(products!$A$1:$G$49, MATCH(orders!$D787,products!$A$1:$A$49,0), MATCH(K$1,products!$A$1:$G$1,0))</f>
        <v>2.5</v>
      </c>
      <c r="L787" s="5">
        <f>INDEX(products!$A$1:$G$49, MATCH(orders!$D787,products!$A$1:$A$49,0), MATCH(L$1,products!$A$1:$G$1,0))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 = 0, "", _xlfn.XLOOKUP(C788,customers!$A$1:$A$1001,customers!$C$1:$C$1001,,0))</f>
        <v>cjewsterlu@moonfruit.com</v>
      </c>
      <c r="H788" s="2" t="str">
        <f>_xlfn.XLOOKUP(C788,customers!$A$1:$A$1001,customers!$G$1:$G$1001,,0)</f>
        <v>United States</v>
      </c>
      <c r="I788" t="str">
        <f>INDEX(products!$A$1:$G$49, MATCH(orders!$D788,products!$A$1:$A$49,0), MATCH(I$1,products!$A$1:$G$1,0))</f>
        <v>Exc</v>
      </c>
      <c r="J788" t="str">
        <f>INDEX(products!$A$1:$G$49, MATCH(orders!$D788,products!$A$1:$A$49,0), MATCH(J$1,products!$A$1:$G$1,0))</f>
        <v>D</v>
      </c>
      <c r="K788" s="4">
        <f>INDEX(products!$A$1:$G$49, MATCH(orders!$D788,products!$A$1:$A$49,0), MATCH(K$1,products!$A$1:$G$1,0))</f>
        <v>2.5</v>
      </c>
      <c r="L788" s="5">
        <f>INDEX(products!$A$1:$G$49, MATCH(orders!$D788,products!$A$1:$A$49,0), MATCH(L$1,products!$A$1:$G$1,0))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 = 0, "", _xlfn.XLOOKUP(C789,customers!$A$1:$A$1001,customers!$C$1:$C$1001,,0))</f>
        <v/>
      </c>
      <c r="H789" s="2" t="str">
        <f>_xlfn.XLOOKUP(C789,customers!$A$1:$A$1001,customers!$G$1:$G$1001,,0)</f>
        <v>United States</v>
      </c>
      <c r="I789" t="str">
        <f>INDEX(products!$A$1:$G$49, MATCH(orders!$D789,products!$A$1:$A$49,0), MATCH(I$1,products!$A$1:$G$1,0))</f>
        <v>Exc</v>
      </c>
      <c r="J789" t="str">
        <f>INDEX(products!$A$1:$G$49, MATCH(orders!$D789,products!$A$1:$A$49,0), MATCH(J$1,products!$A$1:$G$1,0))</f>
        <v>M</v>
      </c>
      <c r="K789" s="4">
        <f>INDEX(products!$A$1:$G$49, MATCH(orders!$D789,products!$A$1:$A$49,0), MATCH(K$1,products!$A$1:$G$1,0))</f>
        <v>1</v>
      </c>
      <c r="L789" s="5">
        <f>INDEX(products!$A$1:$G$49, MATCH(orders!$D789,products!$A$1:$A$49,0), MATCH(L$1,products!$A$1:$G$1,0))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 = 0, "", _xlfn.XLOOKUP(C790,customers!$A$1:$A$1001,customers!$C$1:$C$1001,,0))</f>
        <v>knottramlw@odnoklassniki.ru</v>
      </c>
      <c r="H790" s="2" t="str">
        <f>_xlfn.XLOOKUP(C790,customers!$A$1:$A$1001,customers!$G$1:$G$1001,,0)</f>
        <v>Ireland</v>
      </c>
      <c r="I790" t="str">
        <f>INDEX(products!$A$1:$G$49, MATCH(orders!$D790,products!$A$1:$A$49,0), MATCH(I$1,products!$A$1:$G$1,0))</f>
        <v>Rob</v>
      </c>
      <c r="J790" t="str">
        <f>INDEX(products!$A$1:$G$49, MATCH(orders!$D790,products!$A$1:$A$49,0), MATCH(J$1,products!$A$1:$G$1,0))</f>
        <v>M</v>
      </c>
      <c r="K790" s="4">
        <f>INDEX(products!$A$1:$G$49, MATCH(orders!$D790,products!$A$1:$A$49,0), MATCH(K$1,products!$A$1:$G$1,0))</f>
        <v>2.5</v>
      </c>
      <c r="L790" s="5">
        <f>INDEX(products!$A$1:$G$49, MATCH(orders!$D790,products!$A$1:$A$49,0), MATCH(L$1,products!$A$1:$G$1,0))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 = 0, "", _xlfn.XLOOKUP(C791,customers!$A$1:$A$1001,customers!$C$1:$C$1001,,0))</f>
        <v>nbuneylx@jugem.jp</v>
      </c>
      <c r="H791" s="2" t="str">
        <f>_xlfn.XLOOKUP(C791,customers!$A$1:$A$1001,customers!$G$1:$G$1001,,0)</f>
        <v>United States</v>
      </c>
      <c r="I791" t="str">
        <f>INDEX(products!$A$1:$G$49, MATCH(orders!$D791,products!$A$1:$A$49,0), MATCH(I$1,products!$A$1:$G$1,0))</f>
        <v>Ara</v>
      </c>
      <c r="J791" t="str">
        <f>INDEX(products!$A$1:$G$49, MATCH(orders!$D791,products!$A$1:$A$49,0), MATCH(J$1,products!$A$1:$G$1,0))</f>
        <v>L</v>
      </c>
      <c r="K791" s="4">
        <f>INDEX(products!$A$1:$G$49, MATCH(orders!$D791,products!$A$1:$A$49,0), MATCH(K$1,products!$A$1:$G$1,0))</f>
        <v>1</v>
      </c>
      <c r="L791" s="5">
        <f>INDEX(products!$A$1:$G$49, MATCH(orders!$D791,products!$A$1:$A$49,0), MATCH(L$1,products!$A$1:$G$1,0))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 = 0, "", _xlfn.XLOOKUP(C792,customers!$A$1:$A$1001,customers!$C$1:$C$1001,,0))</f>
        <v>smcshealy@photobucket.com</v>
      </c>
      <c r="H792" s="2" t="str">
        <f>_xlfn.XLOOKUP(C792,customers!$A$1:$A$1001,customers!$G$1:$G$1001,,0)</f>
        <v>United States</v>
      </c>
      <c r="I792" t="str">
        <f>INDEX(products!$A$1:$G$49, MATCH(orders!$D792,products!$A$1:$A$49,0), MATCH(I$1,products!$A$1:$G$1,0))</f>
        <v>Ara</v>
      </c>
      <c r="J792" t="str">
        <f>INDEX(products!$A$1:$G$49, MATCH(orders!$D792,products!$A$1:$A$49,0), MATCH(J$1,products!$A$1:$G$1,0))</f>
        <v>L</v>
      </c>
      <c r="K792" s="4">
        <f>INDEX(products!$A$1:$G$49, MATCH(orders!$D792,products!$A$1:$A$49,0), MATCH(K$1,products!$A$1:$G$1,0))</f>
        <v>0.5</v>
      </c>
      <c r="L792" s="5">
        <f>INDEX(products!$A$1:$G$49, MATCH(orders!$D792,products!$A$1:$A$49,0), MATCH(L$1,products!$A$1:$G$1,0))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 = 0, "", _xlfn.XLOOKUP(C793,customers!$A$1:$A$1001,customers!$C$1:$C$1001,,0))</f>
        <v>khuddartlz@about.com</v>
      </c>
      <c r="H793" s="2" t="str">
        <f>_xlfn.XLOOKUP(C793,customers!$A$1:$A$1001,customers!$G$1:$G$1001,,0)</f>
        <v>United States</v>
      </c>
      <c r="I793" t="str">
        <f>INDEX(products!$A$1:$G$49, MATCH(orders!$D793,products!$A$1:$A$49,0), MATCH(I$1,products!$A$1:$G$1,0))</f>
        <v>Lib</v>
      </c>
      <c r="J793" t="str">
        <f>INDEX(products!$A$1:$G$49, MATCH(orders!$D793,products!$A$1:$A$49,0), MATCH(J$1,products!$A$1:$G$1,0))</f>
        <v>L</v>
      </c>
      <c r="K793" s="4">
        <f>INDEX(products!$A$1:$G$49, MATCH(orders!$D793,products!$A$1:$A$49,0), MATCH(K$1,products!$A$1:$G$1,0))</f>
        <v>0.2</v>
      </c>
      <c r="L793" s="5">
        <f>INDEX(products!$A$1:$G$49, MATCH(orders!$D793,products!$A$1:$A$49,0), MATCH(L$1,products!$A$1:$G$1,0))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 = 0, "", _xlfn.XLOOKUP(C794,customers!$A$1:$A$1001,customers!$C$1:$C$1001,,0))</f>
        <v>jgippesm0@cloudflare.com</v>
      </c>
      <c r="H794" s="2" t="str">
        <f>_xlfn.XLOOKUP(C794,customers!$A$1:$A$1001,customers!$G$1:$G$1001,,0)</f>
        <v>United Kingdom</v>
      </c>
      <c r="I794" t="str">
        <f>INDEX(products!$A$1:$G$49, MATCH(orders!$D794,products!$A$1:$A$49,0), MATCH(I$1,products!$A$1:$G$1,0))</f>
        <v>Lib</v>
      </c>
      <c r="J794" t="str">
        <f>INDEX(products!$A$1:$G$49, MATCH(orders!$D794,products!$A$1:$A$49,0), MATCH(J$1,products!$A$1:$G$1,0))</f>
        <v>M</v>
      </c>
      <c r="K794" s="4">
        <f>INDEX(products!$A$1:$G$49, MATCH(orders!$D794,products!$A$1:$A$49,0), MATCH(K$1,products!$A$1:$G$1,0))</f>
        <v>0.5</v>
      </c>
      <c r="L794" s="5">
        <f>INDEX(products!$A$1:$G$49, MATCH(orders!$D794,products!$A$1:$A$49,0), MATCH(L$1,products!$A$1:$G$1,0))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 = 0, "", _xlfn.XLOOKUP(C795,customers!$A$1:$A$1001,customers!$C$1:$C$1001,,0))</f>
        <v>lwhittleseem1@e-recht24.de</v>
      </c>
      <c r="H795" s="2" t="str">
        <f>_xlfn.XLOOKUP(C795,customers!$A$1:$A$1001,customers!$G$1:$G$1001,,0)</f>
        <v>United States</v>
      </c>
      <c r="I795" t="str">
        <f>INDEX(products!$A$1:$G$49, MATCH(orders!$D795,products!$A$1:$A$49,0), MATCH(I$1,products!$A$1:$G$1,0))</f>
        <v>Rob</v>
      </c>
      <c r="J795" t="str">
        <f>INDEX(products!$A$1:$G$49, MATCH(orders!$D795,products!$A$1:$A$49,0), MATCH(J$1,products!$A$1:$G$1,0))</f>
        <v>L</v>
      </c>
      <c r="K795" s="4">
        <f>INDEX(products!$A$1:$G$49, MATCH(orders!$D795,products!$A$1:$A$49,0), MATCH(K$1,products!$A$1:$G$1,0))</f>
        <v>0.2</v>
      </c>
      <c r="L795" s="5">
        <f>INDEX(products!$A$1:$G$49, MATCH(orders!$D795,products!$A$1:$A$49,0), MATCH(L$1,products!$A$1:$G$1,0))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 = 0, "", _xlfn.XLOOKUP(C796,customers!$A$1:$A$1001,customers!$C$1:$C$1001,,0))</f>
        <v>gtrengrovem2@elpais.com</v>
      </c>
      <c r="H796" s="2" t="str">
        <f>_xlfn.XLOOKUP(C796,customers!$A$1:$A$1001,customers!$G$1:$G$1001,,0)</f>
        <v>United States</v>
      </c>
      <c r="I796" t="str">
        <f>INDEX(products!$A$1:$G$49, MATCH(orders!$D796,products!$A$1:$A$49,0), MATCH(I$1,products!$A$1:$G$1,0))</f>
        <v>Ara</v>
      </c>
      <c r="J796" t="str">
        <f>INDEX(products!$A$1:$G$49, MATCH(orders!$D796,products!$A$1:$A$49,0), MATCH(J$1,products!$A$1:$G$1,0))</f>
        <v>L</v>
      </c>
      <c r="K796" s="4">
        <f>INDEX(products!$A$1:$G$49, MATCH(orders!$D796,products!$A$1:$A$49,0), MATCH(K$1,products!$A$1:$G$1,0))</f>
        <v>2.5</v>
      </c>
      <c r="L796" s="5">
        <f>INDEX(products!$A$1:$G$49, MATCH(orders!$D796,products!$A$1:$A$49,0), MATCH(L$1,products!$A$1:$G$1,0))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 = 0, "", _xlfn.XLOOKUP(C797,customers!$A$1:$A$1001,customers!$C$1:$C$1001,,0))</f>
        <v>wcalderom3@stumbleupon.com</v>
      </c>
      <c r="H797" s="2" t="str">
        <f>_xlfn.XLOOKUP(C797,customers!$A$1:$A$1001,customers!$G$1:$G$1001,,0)</f>
        <v>United States</v>
      </c>
      <c r="I797" t="str">
        <f>INDEX(products!$A$1:$G$49, MATCH(orders!$D797,products!$A$1:$A$49,0), MATCH(I$1,products!$A$1:$G$1,0))</f>
        <v>Rob</v>
      </c>
      <c r="J797" t="str">
        <f>INDEX(products!$A$1:$G$49, MATCH(orders!$D797,products!$A$1:$A$49,0), MATCH(J$1,products!$A$1:$G$1,0))</f>
        <v>L</v>
      </c>
      <c r="K797" s="4">
        <f>INDEX(products!$A$1:$G$49, MATCH(orders!$D797,products!$A$1:$A$49,0), MATCH(K$1,products!$A$1:$G$1,0))</f>
        <v>0.5</v>
      </c>
      <c r="L797" s="5">
        <f>INDEX(products!$A$1:$G$49, MATCH(orders!$D797,products!$A$1:$A$49,0), MATCH(L$1,products!$A$1:$G$1,0))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 = 0, "", _xlfn.XLOOKUP(C798,customers!$A$1:$A$1001,customers!$C$1:$C$1001,,0))</f>
        <v/>
      </c>
      <c r="H798" s="2" t="str">
        <f>_xlfn.XLOOKUP(C798,customers!$A$1:$A$1001,customers!$G$1:$G$1001,,0)</f>
        <v>United States</v>
      </c>
      <c r="I798" t="str">
        <f>INDEX(products!$A$1:$G$49, MATCH(orders!$D798,products!$A$1:$A$49,0), MATCH(I$1,products!$A$1:$G$1,0))</f>
        <v>Lib</v>
      </c>
      <c r="J798" t="str">
        <f>INDEX(products!$A$1:$G$49, MATCH(orders!$D798,products!$A$1:$A$49,0), MATCH(J$1,products!$A$1:$G$1,0))</f>
        <v>L</v>
      </c>
      <c r="K798" s="4">
        <f>INDEX(products!$A$1:$G$49, MATCH(orders!$D798,products!$A$1:$A$49,0), MATCH(K$1,products!$A$1:$G$1,0))</f>
        <v>0.5</v>
      </c>
      <c r="L798" s="5">
        <f>INDEX(products!$A$1:$G$49, MATCH(orders!$D798,products!$A$1:$A$49,0), MATCH(L$1,products!$A$1:$G$1,0))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 = 0, "", _xlfn.XLOOKUP(C799,customers!$A$1:$A$1001,customers!$C$1:$C$1001,,0))</f>
        <v>jkennicottm5@yahoo.co.jp</v>
      </c>
      <c r="H799" s="2" t="str">
        <f>_xlfn.XLOOKUP(C799,customers!$A$1:$A$1001,customers!$G$1:$G$1001,,0)</f>
        <v>United States</v>
      </c>
      <c r="I799" t="str">
        <f>INDEX(products!$A$1:$G$49, MATCH(orders!$D799,products!$A$1:$A$49,0), MATCH(I$1,products!$A$1:$G$1,0))</f>
        <v>Ara</v>
      </c>
      <c r="J799" t="str">
        <f>INDEX(products!$A$1:$G$49, MATCH(orders!$D799,products!$A$1:$A$49,0), MATCH(J$1,products!$A$1:$G$1,0))</f>
        <v>L</v>
      </c>
      <c r="K799" s="4">
        <f>INDEX(products!$A$1:$G$49, MATCH(orders!$D799,products!$A$1:$A$49,0), MATCH(K$1,products!$A$1:$G$1,0))</f>
        <v>0.5</v>
      </c>
      <c r="L799" s="5">
        <f>INDEX(products!$A$1:$G$49, MATCH(orders!$D799,products!$A$1:$A$49,0), MATCH(L$1,products!$A$1:$G$1,0))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 = 0, "", _xlfn.XLOOKUP(C800,customers!$A$1:$A$1001,customers!$C$1:$C$1001,,0))</f>
        <v>gruggenm6@nymag.com</v>
      </c>
      <c r="H800" s="2" t="str">
        <f>_xlfn.XLOOKUP(C800,customers!$A$1:$A$1001,customers!$G$1:$G$1001,,0)</f>
        <v>United States</v>
      </c>
      <c r="I800" t="str">
        <f>INDEX(products!$A$1:$G$49, MATCH(orders!$D800,products!$A$1:$A$49,0), MATCH(I$1,products!$A$1:$G$1,0))</f>
        <v>Rob</v>
      </c>
      <c r="J800" t="str">
        <f>INDEX(products!$A$1:$G$49, MATCH(orders!$D800,products!$A$1:$A$49,0), MATCH(J$1,products!$A$1:$G$1,0))</f>
        <v>D</v>
      </c>
      <c r="K800" s="4">
        <f>INDEX(products!$A$1:$G$49, MATCH(orders!$D800,products!$A$1:$A$49,0), MATCH(K$1,products!$A$1:$G$1,0))</f>
        <v>0.2</v>
      </c>
      <c r="L800" s="5">
        <f>INDEX(products!$A$1:$G$49, MATCH(orders!$D800,products!$A$1:$A$49,0), MATCH(L$1,products!$A$1:$G$1,0))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 = 0, "", _xlfn.XLOOKUP(C801,customers!$A$1:$A$1001,customers!$C$1:$C$1001,,0))</f>
        <v/>
      </c>
      <c r="H801" s="2" t="str">
        <f>_xlfn.XLOOKUP(C801,customers!$A$1:$A$1001,customers!$G$1:$G$1001,,0)</f>
        <v>United States</v>
      </c>
      <c r="I801" t="str">
        <f>INDEX(products!$A$1:$G$49, MATCH(orders!$D801,products!$A$1:$A$49,0), MATCH(I$1,products!$A$1:$G$1,0))</f>
        <v>Exc</v>
      </c>
      <c r="J801" t="str">
        <f>INDEX(products!$A$1:$G$49, MATCH(orders!$D801,products!$A$1:$A$49,0), MATCH(J$1,products!$A$1:$G$1,0))</f>
        <v>D</v>
      </c>
      <c r="K801" s="4">
        <f>INDEX(products!$A$1:$G$49, MATCH(orders!$D801,products!$A$1:$A$49,0), MATCH(K$1,products!$A$1:$G$1,0))</f>
        <v>1</v>
      </c>
      <c r="L801" s="5">
        <f>INDEX(products!$A$1:$G$49, MATCH(orders!$D801,products!$A$1:$A$49,0), MATCH(L$1,products!$A$1:$G$1,0))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 = 0, "", _xlfn.XLOOKUP(C802,customers!$A$1:$A$1001,customers!$C$1:$C$1001,,0))</f>
        <v>mfrightm8@harvard.edu</v>
      </c>
      <c r="H802" s="2" t="str">
        <f>_xlfn.XLOOKUP(C802,customers!$A$1:$A$1001,customers!$G$1:$G$1001,,0)</f>
        <v>Ireland</v>
      </c>
      <c r="I802" t="str">
        <f>INDEX(products!$A$1:$G$49, MATCH(orders!$D802,products!$A$1:$A$49,0), MATCH(I$1,products!$A$1:$G$1,0))</f>
        <v>Rob</v>
      </c>
      <c r="J802" t="str">
        <f>INDEX(products!$A$1:$G$49, MATCH(orders!$D802,products!$A$1:$A$49,0), MATCH(J$1,products!$A$1:$G$1,0))</f>
        <v>D</v>
      </c>
      <c r="K802" s="4">
        <f>INDEX(products!$A$1:$G$49, MATCH(orders!$D802,products!$A$1:$A$49,0), MATCH(K$1,products!$A$1:$G$1,0))</f>
        <v>0.2</v>
      </c>
      <c r="L802" s="5">
        <f>INDEX(products!$A$1:$G$49, MATCH(orders!$D802,products!$A$1:$A$49,0), MATCH(L$1,products!$A$1:$G$1,0))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 = 0, "", _xlfn.XLOOKUP(C803,customers!$A$1:$A$1001,customers!$C$1:$C$1001,,0))</f>
        <v>btartem9@aol.com</v>
      </c>
      <c r="H803" s="2" t="str">
        <f>_xlfn.XLOOKUP(C803,customers!$A$1:$A$1001,customers!$G$1:$G$1001,,0)</f>
        <v>United States</v>
      </c>
      <c r="I803" t="str">
        <f>INDEX(products!$A$1:$G$49, MATCH(orders!$D803,products!$A$1:$A$49,0), MATCH(I$1,products!$A$1:$G$1,0))</f>
        <v>Rob</v>
      </c>
      <c r="J803" t="str">
        <f>INDEX(products!$A$1:$G$49, MATCH(orders!$D803,products!$A$1:$A$49,0), MATCH(J$1,products!$A$1:$G$1,0))</f>
        <v>D</v>
      </c>
      <c r="K803" s="4">
        <f>INDEX(products!$A$1:$G$49, MATCH(orders!$D803,products!$A$1:$A$49,0), MATCH(K$1,products!$A$1:$G$1,0))</f>
        <v>2.5</v>
      </c>
      <c r="L803" s="5">
        <f>INDEX(products!$A$1:$G$49, MATCH(orders!$D803,products!$A$1:$A$49,0), MATCH(L$1,products!$A$1:$G$1,0))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 = 0, "", _xlfn.XLOOKUP(C804,customers!$A$1:$A$1001,customers!$C$1:$C$1001,,0))</f>
        <v>ckrzysztofiakma@skyrock.com</v>
      </c>
      <c r="H804" s="2" t="str">
        <f>_xlfn.XLOOKUP(C804,customers!$A$1:$A$1001,customers!$G$1:$G$1001,,0)</f>
        <v>United States</v>
      </c>
      <c r="I804" t="str">
        <f>INDEX(products!$A$1:$G$49, MATCH(orders!$D804,products!$A$1:$A$49,0), MATCH(I$1,products!$A$1:$G$1,0))</f>
        <v>Rob</v>
      </c>
      <c r="J804" t="str">
        <f>INDEX(products!$A$1:$G$49, MATCH(orders!$D804,products!$A$1:$A$49,0), MATCH(J$1,products!$A$1:$G$1,0))</f>
        <v>D</v>
      </c>
      <c r="K804" s="4">
        <f>INDEX(products!$A$1:$G$49, MATCH(orders!$D804,products!$A$1:$A$49,0), MATCH(K$1,products!$A$1:$G$1,0))</f>
        <v>0.2</v>
      </c>
      <c r="L804" s="5">
        <f>INDEX(products!$A$1:$G$49, MATCH(orders!$D804,products!$A$1:$A$49,0), MATCH(L$1,products!$A$1:$G$1,0))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 = 0, "", _xlfn.XLOOKUP(C805,customers!$A$1:$A$1001,customers!$C$1:$C$1001,,0))</f>
        <v>dpenquetmb@diigo.com</v>
      </c>
      <c r="H805" s="2" t="str">
        <f>_xlfn.XLOOKUP(C805,customers!$A$1:$A$1001,customers!$G$1:$G$1001,,0)</f>
        <v>United States</v>
      </c>
      <c r="I805" t="str">
        <f>INDEX(products!$A$1:$G$49, MATCH(orders!$D805,products!$A$1:$A$49,0), MATCH(I$1,products!$A$1:$G$1,0))</f>
        <v>Exc</v>
      </c>
      <c r="J805" t="str">
        <f>INDEX(products!$A$1:$G$49, MATCH(orders!$D805,products!$A$1:$A$49,0), MATCH(J$1,products!$A$1:$G$1,0))</f>
        <v>M</v>
      </c>
      <c r="K805" s="4">
        <f>INDEX(products!$A$1:$G$49, MATCH(orders!$D805,products!$A$1:$A$49,0), MATCH(K$1,products!$A$1:$G$1,0))</f>
        <v>2.5</v>
      </c>
      <c r="L805" s="5">
        <f>INDEX(products!$A$1:$G$49, MATCH(orders!$D805,products!$A$1:$A$49,0), MATCH(L$1,products!$A$1:$G$1,0))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 = 0, "", _xlfn.XLOOKUP(C806,customers!$A$1:$A$1001,customers!$C$1:$C$1001,,0))</f>
        <v/>
      </c>
      <c r="H806" s="2" t="str">
        <f>_xlfn.XLOOKUP(C806,customers!$A$1:$A$1001,customers!$G$1:$G$1001,,0)</f>
        <v>United Kingdom</v>
      </c>
      <c r="I806" t="str">
        <f>INDEX(products!$A$1:$G$49, MATCH(orders!$D806,products!$A$1:$A$49,0), MATCH(I$1,products!$A$1:$G$1,0))</f>
        <v>Rob</v>
      </c>
      <c r="J806" t="str">
        <f>INDEX(products!$A$1:$G$49, MATCH(orders!$D806,products!$A$1:$A$49,0), MATCH(J$1,products!$A$1:$G$1,0))</f>
        <v>L</v>
      </c>
      <c r="K806" s="4">
        <f>INDEX(products!$A$1:$G$49, MATCH(orders!$D806,products!$A$1:$A$49,0), MATCH(K$1,products!$A$1:$G$1,0))</f>
        <v>1</v>
      </c>
      <c r="L806" s="5">
        <f>INDEX(products!$A$1:$G$49, MATCH(orders!$D806,products!$A$1:$A$49,0), MATCH(L$1,products!$A$1:$G$1,0))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 = 0, "", _xlfn.XLOOKUP(C807,customers!$A$1:$A$1001,customers!$C$1:$C$1001,,0))</f>
        <v/>
      </c>
      <c r="H807" s="2" t="str">
        <f>_xlfn.XLOOKUP(C807,customers!$A$1:$A$1001,customers!$G$1:$G$1001,,0)</f>
        <v>United States</v>
      </c>
      <c r="I807" t="str">
        <f>INDEX(products!$A$1:$G$49, MATCH(orders!$D807,products!$A$1:$A$49,0), MATCH(I$1,products!$A$1:$G$1,0))</f>
        <v>Rob</v>
      </c>
      <c r="J807" t="str">
        <f>INDEX(products!$A$1:$G$49, MATCH(orders!$D807,products!$A$1:$A$49,0), MATCH(J$1,products!$A$1:$G$1,0))</f>
        <v>M</v>
      </c>
      <c r="K807" s="4">
        <f>INDEX(products!$A$1:$G$49, MATCH(orders!$D807,products!$A$1:$A$49,0), MATCH(K$1,products!$A$1:$G$1,0))</f>
        <v>0.5</v>
      </c>
      <c r="L807" s="5">
        <f>INDEX(products!$A$1:$G$49, MATCH(orders!$D807,products!$A$1:$A$49,0), MATCH(L$1,products!$A$1:$G$1,0))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 = 0, "", _xlfn.XLOOKUP(C808,customers!$A$1:$A$1001,customers!$C$1:$C$1001,,0))</f>
        <v/>
      </c>
      <c r="H808" s="2" t="str">
        <f>_xlfn.XLOOKUP(C808,customers!$A$1:$A$1001,customers!$G$1:$G$1001,,0)</f>
        <v>United Kingdom</v>
      </c>
      <c r="I808" t="str">
        <f>INDEX(products!$A$1:$G$49, MATCH(orders!$D808,products!$A$1:$A$49,0), MATCH(I$1,products!$A$1:$G$1,0))</f>
        <v>Lib</v>
      </c>
      <c r="J808" t="str">
        <f>INDEX(products!$A$1:$G$49, MATCH(orders!$D808,products!$A$1:$A$49,0), MATCH(J$1,products!$A$1:$G$1,0))</f>
        <v>D</v>
      </c>
      <c r="K808" s="4">
        <f>INDEX(products!$A$1:$G$49, MATCH(orders!$D808,products!$A$1:$A$49,0), MATCH(K$1,products!$A$1:$G$1,0))</f>
        <v>0.2</v>
      </c>
      <c r="L808" s="5">
        <f>INDEX(products!$A$1:$G$49, MATCH(orders!$D808,products!$A$1:$A$49,0), MATCH(L$1,products!$A$1:$G$1,0))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 = 0, "", _xlfn.XLOOKUP(C809,customers!$A$1:$A$1001,customers!$C$1:$C$1001,,0))</f>
        <v>kferrettimf@huffingtonpost.com</v>
      </c>
      <c r="H809" s="2" t="str">
        <f>_xlfn.XLOOKUP(C809,customers!$A$1:$A$1001,customers!$G$1:$G$1001,,0)</f>
        <v>Ireland</v>
      </c>
      <c r="I809" t="str">
        <f>INDEX(products!$A$1:$G$49, MATCH(orders!$D809,products!$A$1:$A$49,0), MATCH(I$1,products!$A$1:$G$1,0))</f>
        <v>Lib</v>
      </c>
      <c r="J809" t="str">
        <f>INDEX(products!$A$1:$G$49, MATCH(orders!$D809,products!$A$1:$A$49,0), MATCH(J$1,products!$A$1:$G$1,0))</f>
        <v>D</v>
      </c>
      <c r="K809" s="4">
        <f>INDEX(products!$A$1:$G$49, MATCH(orders!$D809,products!$A$1:$A$49,0), MATCH(K$1,products!$A$1:$G$1,0))</f>
        <v>0.5</v>
      </c>
      <c r="L809" s="5">
        <f>INDEX(products!$A$1:$G$49, MATCH(orders!$D809,products!$A$1:$A$49,0), MATCH(L$1,products!$A$1:$G$1,0))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 = 0, "", _xlfn.XLOOKUP(C810,customers!$A$1:$A$1001,customers!$C$1:$C$1001,,0))</f>
        <v/>
      </c>
      <c r="H810" s="2" t="str">
        <f>_xlfn.XLOOKUP(C810,customers!$A$1:$A$1001,customers!$G$1:$G$1001,,0)</f>
        <v>United States</v>
      </c>
      <c r="I810" t="str">
        <f>INDEX(products!$A$1:$G$49, MATCH(orders!$D810,products!$A$1:$A$49,0), MATCH(I$1,products!$A$1:$G$1,0))</f>
        <v>Rob</v>
      </c>
      <c r="J810" t="str">
        <f>INDEX(products!$A$1:$G$49, MATCH(orders!$D810,products!$A$1:$A$49,0), MATCH(J$1,products!$A$1:$G$1,0))</f>
        <v>L</v>
      </c>
      <c r="K810" s="4">
        <f>INDEX(products!$A$1:$G$49, MATCH(orders!$D810,products!$A$1:$A$49,0), MATCH(K$1,products!$A$1:$G$1,0))</f>
        <v>2.5</v>
      </c>
      <c r="L810" s="5">
        <f>INDEX(products!$A$1:$G$49, MATCH(orders!$D810,products!$A$1:$A$49,0), MATCH(L$1,products!$A$1:$G$1,0))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 = 0, "", _xlfn.XLOOKUP(C811,customers!$A$1:$A$1001,customers!$C$1:$C$1001,,0))</f>
        <v/>
      </c>
      <c r="H811" s="2" t="str">
        <f>_xlfn.XLOOKUP(C811,customers!$A$1:$A$1001,customers!$G$1:$G$1001,,0)</f>
        <v>United States</v>
      </c>
      <c r="I811" t="str">
        <f>INDEX(products!$A$1:$G$49, MATCH(orders!$D811,products!$A$1:$A$49,0), MATCH(I$1,products!$A$1:$G$1,0))</f>
        <v>Rob</v>
      </c>
      <c r="J811" t="str">
        <f>INDEX(products!$A$1:$G$49, MATCH(orders!$D811,products!$A$1:$A$49,0), MATCH(J$1,products!$A$1:$G$1,0))</f>
        <v>D</v>
      </c>
      <c r="K811" s="4">
        <f>INDEX(products!$A$1:$G$49, MATCH(orders!$D811,products!$A$1:$A$49,0), MATCH(K$1,products!$A$1:$G$1,0))</f>
        <v>0.2</v>
      </c>
      <c r="L811" s="5">
        <f>INDEX(products!$A$1:$G$49, MATCH(orders!$D811,products!$A$1:$A$49,0), MATCH(L$1,products!$A$1:$G$1,0))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 = 0, "", _xlfn.XLOOKUP(C812,customers!$A$1:$A$1001,customers!$C$1:$C$1001,,0))</f>
        <v>abalsdonemi@toplist.cz</v>
      </c>
      <c r="H812" s="2" t="str">
        <f>_xlfn.XLOOKUP(C812,customers!$A$1:$A$1001,customers!$G$1:$G$1001,,0)</f>
        <v>United States</v>
      </c>
      <c r="I812" t="str">
        <f>INDEX(products!$A$1:$G$49, MATCH(orders!$D812,products!$A$1:$A$49,0), MATCH(I$1,products!$A$1:$G$1,0))</f>
        <v>Lib</v>
      </c>
      <c r="J812" t="str">
        <f>INDEX(products!$A$1:$G$49, MATCH(orders!$D812,products!$A$1:$A$49,0), MATCH(J$1,products!$A$1:$G$1,0))</f>
        <v>L</v>
      </c>
      <c r="K812" s="4">
        <f>INDEX(products!$A$1:$G$49, MATCH(orders!$D812,products!$A$1:$A$49,0), MATCH(K$1,products!$A$1:$G$1,0))</f>
        <v>0.5</v>
      </c>
      <c r="L812" s="5">
        <f>INDEX(products!$A$1:$G$49, MATCH(orders!$D812,products!$A$1:$A$49,0), MATCH(L$1,products!$A$1:$G$1,0))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 = 0, "", _xlfn.XLOOKUP(C813,customers!$A$1:$A$1001,customers!$C$1:$C$1001,,0))</f>
        <v>bromeramj@list-manage.com</v>
      </c>
      <c r="H813" s="2" t="str">
        <f>_xlfn.XLOOKUP(C813,customers!$A$1:$A$1001,customers!$G$1:$G$1001,,0)</f>
        <v>Ireland</v>
      </c>
      <c r="I813" t="str">
        <f>INDEX(products!$A$1:$G$49, MATCH(orders!$D813,products!$A$1:$A$49,0), MATCH(I$1,products!$A$1:$G$1,0))</f>
        <v>Ara</v>
      </c>
      <c r="J813" t="str">
        <f>INDEX(products!$A$1:$G$49, MATCH(orders!$D813,products!$A$1:$A$49,0), MATCH(J$1,products!$A$1:$G$1,0))</f>
        <v>M</v>
      </c>
      <c r="K813" s="4">
        <f>INDEX(products!$A$1:$G$49, MATCH(orders!$D813,products!$A$1:$A$49,0), MATCH(K$1,products!$A$1:$G$1,0))</f>
        <v>1</v>
      </c>
      <c r="L813" s="5">
        <f>INDEX(products!$A$1:$G$49, MATCH(orders!$D813,products!$A$1:$A$49,0), MATCH(L$1,products!$A$1:$G$1,0))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 = 0, "", _xlfn.XLOOKUP(C814,customers!$A$1:$A$1001,customers!$C$1:$C$1001,,0))</f>
        <v>bromeramj@list-manage.com</v>
      </c>
      <c r="H814" s="2" t="str">
        <f>_xlfn.XLOOKUP(C814,customers!$A$1:$A$1001,customers!$G$1:$G$1001,,0)</f>
        <v>Ireland</v>
      </c>
      <c r="I814" t="str">
        <f>INDEX(products!$A$1:$G$49, MATCH(orders!$D814,products!$A$1:$A$49,0), MATCH(I$1,products!$A$1:$G$1,0))</f>
        <v>Lib</v>
      </c>
      <c r="J814" t="str">
        <f>INDEX(products!$A$1:$G$49, MATCH(orders!$D814,products!$A$1:$A$49,0), MATCH(J$1,products!$A$1:$G$1,0))</f>
        <v>D</v>
      </c>
      <c r="K814" s="4">
        <f>INDEX(products!$A$1:$G$49, MATCH(orders!$D814,products!$A$1:$A$49,0), MATCH(K$1,products!$A$1:$G$1,0))</f>
        <v>2.5</v>
      </c>
      <c r="L814" s="5">
        <f>INDEX(products!$A$1:$G$49, MATCH(orders!$D814,products!$A$1:$A$49,0), MATCH(L$1,products!$A$1:$G$1,0))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 = 0, "", _xlfn.XLOOKUP(C815,customers!$A$1:$A$1001,customers!$C$1:$C$1001,,0))</f>
        <v>cbrydeml@tuttocitta.it</v>
      </c>
      <c r="H815" s="2" t="str">
        <f>_xlfn.XLOOKUP(C815,customers!$A$1:$A$1001,customers!$G$1:$G$1001,,0)</f>
        <v>United States</v>
      </c>
      <c r="I815" t="str">
        <f>INDEX(products!$A$1:$G$49, MATCH(orders!$D815,products!$A$1:$A$49,0), MATCH(I$1,products!$A$1:$G$1,0))</f>
        <v>Exc</v>
      </c>
      <c r="J815" t="str">
        <f>INDEX(products!$A$1:$G$49, MATCH(orders!$D815,products!$A$1:$A$49,0), MATCH(J$1,products!$A$1:$G$1,0))</f>
        <v>M</v>
      </c>
      <c r="K815" s="4">
        <f>INDEX(products!$A$1:$G$49, MATCH(orders!$D815,products!$A$1:$A$49,0), MATCH(K$1,products!$A$1:$G$1,0))</f>
        <v>2.5</v>
      </c>
      <c r="L815" s="5">
        <f>INDEX(products!$A$1:$G$49, MATCH(orders!$D815,products!$A$1:$A$49,0), MATCH(L$1,products!$A$1:$G$1,0))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 = 0, "", _xlfn.XLOOKUP(C816,customers!$A$1:$A$1001,customers!$C$1:$C$1001,,0))</f>
        <v>senefermm@blog.com</v>
      </c>
      <c r="H816" s="2" t="str">
        <f>_xlfn.XLOOKUP(C816,customers!$A$1:$A$1001,customers!$G$1:$G$1001,,0)</f>
        <v>United States</v>
      </c>
      <c r="I816" t="str">
        <f>INDEX(products!$A$1:$G$49, MATCH(orders!$D816,products!$A$1:$A$49,0), MATCH(I$1,products!$A$1:$G$1,0))</f>
        <v>Exc</v>
      </c>
      <c r="J816" t="str">
        <f>INDEX(products!$A$1:$G$49, MATCH(orders!$D816,products!$A$1:$A$49,0), MATCH(J$1,products!$A$1:$G$1,0))</f>
        <v>L</v>
      </c>
      <c r="K816" s="4">
        <f>INDEX(products!$A$1:$G$49, MATCH(orders!$D816,products!$A$1:$A$49,0), MATCH(K$1,products!$A$1:$G$1,0))</f>
        <v>0.2</v>
      </c>
      <c r="L816" s="5">
        <f>INDEX(products!$A$1:$G$49, MATCH(orders!$D816,products!$A$1:$A$49,0), MATCH(L$1,products!$A$1:$G$1,0))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 = 0, "", _xlfn.XLOOKUP(C817,customers!$A$1:$A$1001,customers!$C$1:$C$1001,,0))</f>
        <v>lhaggerstonemn@independent.co.uk</v>
      </c>
      <c r="H817" s="2" t="str">
        <f>_xlfn.XLOOKUP(C817,customers!$A$1:$A$1001,customers!$G$1:$G$1001,,0)</f>
        <v>United States</v>
      </c>
      <c r="I817" t="str">
        <f>INDEX(products!$A$1:$G$49, MATCH(orders!$D817,products!$A$1:$A$49,0), MATCH(I$1,products!$A$1:$G$1,0))</f>
        <v>Rob</v>
      </c>
      <c r="J817" t="str">
        <f>INDEX(products!$A$1:$G$49, MATCH(orders!$D817,products!$A$1:$A$49,0), MATCH(J$1,products!$A$1:$G$1,0))</f>
        <v>M</v>
      </c>
      <c r="K817" s="4">
        <f>INDEX(products!$A$1:$G$49, MATCH(orders!$D817,products!$A$1:$A$49,0), MATCH(K$1,products!$A$1:$G$1,0))</f>
        <v>0.5</v>
      </c>
      <c r="L817" s="5">
        <f>INDEX(products!$A$1:$G$49, MATCH(orders!$D817,products!$A$1:$A$49,0), MATCH(L$1,products!$A$1:$G$1,0))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 = 0, "", _xlfn.XLOOKUP(C818,customers!$A$1:$A$1001,customers!$C$1:$C$1001,,0))</f>
        <v>mgundrymo@omniture.com</v>
      </c>
      <c r="H818" s="2" t="str">
        <f>_xlfn.XLOOKUP(C818,customers!$A$1:$A$1001,customers!$G$1:$G$1001,,0)</f>
        <v>Ireland</v>
      </c>
      <c r="I818" t="str">
        <f>INDEX(products!$A$1:$G$49, MATCH(orders!$D818,products!$A$1:$A$49,0), MATCH(I$1,products!$A$1:$G$1,0))</f>
        <v>Lib</v>
      </c>
      <c r="J818" t="str">
        <f>INDEX(products!$A$1:$G$49, MATCH(orders!$D818,products!$A$1:$A$49,0), MATCH(J$1,products!$A$1:$G$1,0))</f>
        <v>L</v>
      </c>
      <c r="K818" s="4">
        <f>INDEX(products!$A$1:$G$49, MATCH(orders!$D818,products!$A$1:$A$49,0), MATCH(K$1,products!$A$1:$G$1,0))</f>
        <v>0.5</v>
      </c>
      <c r="L818" s="5">
        <f>INDEX(products!$A$1:$G$49, MATCH(orders!$D818,products!$A$1:$A$49,0), MATCH(L$1,products!$A$1:$G$1,0))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 = 0, "", _xlfn.XLOOKUP(C819,customers!$A$1:$A$1001,customers!$C$1:$C$1001,,0))</f>
        <v>bwellanmp@cafepress.com</v>
      </c>
      <c r="H819" s="2" t="str">
        <f>_xlfn.XLOOKUP(C819,customers!$A$1:$A$1001,customers!$G$1:$G$1001,,0)</f>
        <v>United States</v>
      </c>
      <c r="I819" t="str">
        <f>INDEX(products!$A$1:$G$49, MATCH(orders!$D819,products!$A$1:$A$49,0), MATCH(I$1,products!$A$1:$G$1,0))</f>
        <v>Lib</v>
      </c>
      <c r="J819" t="str">
        <f>INDEX(products!$A$1:$G$49, MATCH(orders!$D819,products!$A$1:$A$49,0), MATCH(J$1,products!$A$1:$G$1,0))</f>
        <v>D</v>
      </c>
      <c r="K819" s="4">
        <f>INDEX(products!$A$1:$G$49, MATCH(orders!$D819,products!$A$1:$A$49,0), MATCH(K$1,products!$A$1:$G$1,0))</f>
        <v>0.5</v>
      </c>
      <c r="L819" s="5">
        <f>INDEX(products!$A$1:$G$49, MATCH(orders!$D819,products!$A$1:$A$49,0), MATCH(L$1,products!$A$1:$G$1,0))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 = 0, "", _xlfn.XLOOKUP(C820,customers!$A$1:$A$1001,customers!$C$1:$C$1001,,0))</f>
        <v/>
      </c>
      <c r="H820" s="2" t="str">
        <f>_xlfn.XLOOKUP(C820,customers!$A$1:$A$1001,customers!$G$1:$G$1001,,0)</f>
        <v>United States</v>
      </c>
      <c r="I820" t="str">
        <f>INDEX(products!$A$1:$G$49, MATCH(orders!$D820,products!$A$1:$A$49,0), MATCH(I$1,products!$A$1:$G$1,0))</f>
        <v>Lib</v>
      </c>
      <c r="J820" t="str">
        <f>INDEX(products!$A$1:$G$49, MATCH(orders!$D820,products!$A$1:$A$49,0), MATCH(J$1,products!$A$1:$G$1,0))</f>
        <v>L</v>
      </c>
      <c r="K820" s="4">
        <f>INDEX(products!$A$1:$G$49, MATCH(orders!$D820,products!$A$1:$A$49,0), MATCH(K$1,products!$A$1:$G$1,0))</f>
        <v>1</v>
      </c>
      <c r="L820" s="5">
        <f>INDEX(products!$A$1:$G$49, MATCH(orders!$D820,products!$A$1:$A$49,0), MATCH(L$1,products!$A$1:$G$1,0))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 = 0, "", _xlfn.XLOOKUP(C821,customers!$A$1:$A$1001,customers!$C$1:$C$1001,,0))</f>
        <v>catchesonmr@xinhuanet.com</v>
      </c>
      <c r="H821" s="2" t="str">
        <f>_xlfn.XLOOKUP(C821,customers!$A$1:$A$1001,customers!$G$1:$G$1001,,0)</f>
        <v>United States</v>
      </c>
      <c r="I821" t="str">
        <f>INDEX(products!$A$1:$G$49, MATCH(orders!$D821,products!$A$1:$A$49,0), MATCH(I$1,products!$A$1:$G$1,0))</f>
        <v>Lib</v>
      </c>
      <c r="J821" t="str">
        <f>INDEX(products!$A$1:$G$49, MATCH(orders!$D821,products!$A$1:$A$49,0), MATCH(J$1,products!$A$1:$G$1,0))</f>
        <v>L</v>
      </c>
      <c r="K821" s="4">
        <f>INDEX(products!$A$1:$G$49, MATCH(orders!$D821,products!$A$1:$A$49,0), MATCH(K$1,products!$A$1:$G$1,0))</f>
        <v>0.2</v>
      </c>
      <c r="L821" s="5">
        <f>INDEX(products!$A$1:$G$49, MATCH(orders!$D821,products!$A$1:$A$49,0), MATCH(L$1,products!$A$1:$G$1,0))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 = 0, "", _xlfn.XLOOKUP(C822,customers!$A$1:$A$1001,customers!$C$1:$C$1001,,0))</f>
        <v>estentonms@google.it</v>
      </c>
      <c r="H822" s="2" t="str">
        <f>_xlfn.XLOOKUP(C822,customers!$A$1:$A$1001,customers!$G$1:$G$1001,,0)</f>
        <v>United States</v>
      </c>
      <c r="I822" t="str">
        <f>INDEX(products!$A$1:$G$49, MATCH(orders!$D822,products!$A$1:$A$49,0), MATCH(I$1,products!$A$1:$G$1,0))</f>
        <v>Exc</v>
      </c>
      <c r="J822" t="str">
        <f>INDEX(products!$A$1:$G$49, MATCH(orders!$D822,products!$A$1:$A$49,0), MATCH(J$1,products!$A$1:$G$1,0))</f>
        <v>M</v>
      </c>
      <c r="K822" s="4">
        <f>INDEX(products!$A$1:$G$49, MATCH(orders!$D822,products!$A$1:$A$49,0), MATCH(K$1,products!$A$1:$G$1,0))</f>
        <v>1</v>
      </c>
      <c r="L822" s="5">
        <f>INDEX(products!$A$1:$G$49, MATCH(orders!$D822,products!$A$1:$A$49,0), MATCH(L$1,products!$A$1:$G$1,0))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 = 0, "", _xlfn.XLOOKUP(C823,customers!$A$1:$A$1001,customers!$C$1:$C$1001,,0))</f>
        <v>etrippmt@wp.com</v>
      </c>
      <c r="H823" s="2" t="str">
        <f>_xlfn.XLOOKUP(C823,customers!$A$1:$A$1001,customers!$G$1:$G$1001,,0)</f>
        <v>United States</v>
      </c>
      <c r="I823" t="str">
        <f>INDEX(products!$A$1:$G$49, MATCH(orders!$D823,products!$A$1:$A$49,0), MATCH(I$1,products!$A$1:$G$1,0))</f>
        <v>Rob</v>
      </c>
      <c r="J823" t="str">
        <f>INDEX(products!$A$1:$G$49, MATCH(orders!$D823,products!$A$1:$A$49,0), MATCH(J$1,products!$A$1:$G$1,0))</f>
        <v>D</v>
      </c>
      <c r="K823" s="4">
        <f>INDEX(products!$A$1:$G$49, MATCH(orders!$D823,products!$A$1:$A$49,0), MATCH(K$1,products!$A$1:$G$1,0))</f>
        <v>0.5</v>
      </c>
      <c r="L823" s="5">
        <f>INDEX(products!$A$1:$G$49, MATCH(orders!$D823,products!$A$1:$A$49,0), MATCH(L$1,products!$A$1:$G$1,0))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 = 0, "", _xlfn.XLOOKUP(C824,customers!$A$1:$A$1001,customers!$C$1:$C$1001,,0))</f>
        <v>lmacmanusmu@imdb.com</v>
      </c>
      <c r="H824" s="2" t="str">
        <f>_xlfn.XLOOKUP(C824,customers!$A$1:$A$1001,customers!$G$1:$G$1001,,0)</f>
        <v>United States</v>
      </c>
      <c r="I824" t="str">
        <f>INDEX(products!$A$1:$G$49, MATCH(orders!$D824,products!$A$1:$A$49,0), MATCH(I$1,products!$A$1:$G$1,0))</f>
        <v>Exc</v>
      </c>
      <c r="J824" t="str">
        <f>INDEX(products!$A$1:$G$49, MATCH(orders!$D824,products!$A$1:$A$49,0), MATCH(J$1,products!$A$1:$G$1,0))</f>
        <v>L</v>
      </c>
      <c r="K824" s="4">
        <f>INDEX(products!$A$1:$G$49, MATCH(orders!$D824,products!$A$1:$A$49,0), MATCH(K$1,products!$A$1:$G$1,0))</f>
        <v>2.5</v>
      </c>
      <c r="L824" s="5">
        <f>INDEX(products!$A$1:$G$49, MATCH(orders!$D824,products!$A$1:$A$49,0), MATCH(L$1,products!$A$1:$G$1,0))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 = 0, "", _xlfn.XLOOKUP(C825,customers!$A$1:$A$1001,customers!$C$1:$C$1001,,0))</f>
        <v>tbenediktovichmv@ebay.com</v>
      </c>
      <c r="H825" s="2" t="str">
        <f>_xlfn.XLOOKUP(C825,customers!$A$1:$A$1001,customers!$G$1:$G$1001,,0)</f>
        <v>United States</v>
      </c>
      <c r="I825" t="str">
        <f>INDEX(products!$A$1:$G$49, MATCH(orders!$D825,products!$A$1:$A$49,0), MATCH(I$1,products!$A$1:$G$1,0))</f>
        <v>Lib</v>
      </c>
      <c r="J825" t="str">
        <f>INDEX(products!$A$1:$G$49, MATCH(orders!$D825,products!$A$1:$A$49,0), MATCH(J$1,products!$A$1:$G$1,0))</f>
        <v>L</v>
      </c>
      <c r="K825" s="4">
        <f>INDEX(products!$A$1:$G$49, MATCH(orders!$D825,products!$A$1:$A$49,0), MATCH(K$1,products!$A$1:$G$1,0))</f>
        <v>1</v>
      </c>
      <c r="L825" s="5">
        <f>INDEX(products!$A$1:$G$49, MATCH(orders!$D825,products!$A$1:$A$49,0), MATCH(L$1,products!$A$1:$G$1,0))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 = 0, "", _xlfn.XLOOKUP(C826,customers!$A$1:$A$1001,customers!$C$1:$C$1001,,0))</f>
        <v>cbournermw@chronoengine.com</v>
      </c>
      <c r="H826" s="2" t="str">
        <f>_xlfn.XLOOKUP(C826,customers!$A$1:$A$1001,customers!$G$1:$G$1001,,0)</f>
        <v>United States</v>
      </c>
      <c r="I826" t="str">
        <f>INDEX(products!$A$1:$G$49, MATCH(orders!$D826,products!$A$1:$A$49,0), MATCH(I$1,products!$A$1:$G$1,0))</f>
        <v>Ara</v>
      </c>
      <c r="J826" t="str">
        <f>INDEX(products!$A$1:$G$49, MATCH(orders!$D826,products!$A$1:$A$49,0), MATCH(J$1,products!$A$1:$G$1,0))</f>
        <v>M</v>
      </c>
      <c r="K826" s="4">
        <f>INDEX(products!$A$1:$G$49, MATCH(orders!$D826,products!$A$1:$A$49,0), MATCH(K$1,products!$A$1:$G$1,0))</f>
        <v>0.2</v>
      </c>
      <c r="L826" s="5">
        <f>INDEX(products!$A$1:$G$49, MATCH(orders!$D826,products!$A$1:$A$49,0), MATCH(L$1,products!$A$1:$G$1,0))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 = 0, "", _xlfn.XLOOKUP(C827,customers!$A$1:$A$1001,customers!$C$1:$C$1001,,0))</f>
        <v>oskermen3@hatena.ne.jp</v>
      </c>
      <c r="H827" s="2" t="str">
        <f>_xlfn.XLOOKUP(C827,customers!$A$1:$A$1001,customers!$G$1:$G$1001,,0)</f>
        <v>United States</v>
      </c>
      <c r="I827" t="str">
        <f>INDEX(products!$A$1:$G$49, MATCH(orders!$D827,products!$A$1:$A$49,0), MATCH(I$1,products!$A$1:$G$1,0))</f>
        <v>Ara</v>
      </c>
      <c r="J827" t="str">
        <f>INDEX(products!$A$1:$G$49, MATCH(orders!$D827,products!$A$1:$A$49,0), MATCH(J$1,products!$A$1:$G$1,0))</f>
        <v>D</v>
      </c>
      <c r="K827" s="4">
        <f>INDEX(products!$A$1:$G$49, MATCH(orders!$D827,products!$A$1:$A$49,0), MATCH(K$1,products!$A$1:$G$1,0))</f>
        <v>1</v>
      </c>
      <c r="L827" s="5">
        <f>INDEX(products!$A$1:$G$49, MATCH(orders!$D827,products!$A$1:$A$49,0), MATCH(L$1,products!$A$1:$G$1,0))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 = 0, "", _xlfn.XLOOKUP(C828,customers!$A$1:$A$1001,customers!$C$1:$C$1001,,0))</f>
        <v>kheddanmy@icq.com</v>
      </c>
      <c r="H828" s="2" t="str">
        <f>_xlfn.XLOOKUP(C828,customers!$A$1:$A$1001,customers!$G$1:$G$1001,,0)</f>
        <v>United States</v>
      </c>
      <c r="I828" t="str">
        <f>INDEX(products!$A$1:$G$49, MATCH(orders!$D828,products!$A$1:$A$49,0), MATCH(I$1,products!$A$1:$G$1,0))</f>
        <v>Exc</v>
      </c>
      <c r="J828" t="str">
        <f>INDEX(products!$A$1:$G$49, MATCH(orders!$D828,products!$A$1:$A$49,0), MATCH(J$1,products!$A$1:$G$1,0))</f>
        <v>M</v>
      </c>
      <c r="K828" s="4">
        <f>INDEX(products!$A$1:$G$49, MATCH(orders!$D828,products!$A$1:$A$49,0), MATCH(K$1,products!$A$1:$G$1,0))</f>
        <v>0.5</v>
      </c>
      <c r="L828" s="5">
        <f>INDEX(products!$A$1:$G$49, MATCH(orders!$D828,products!$A$1:$A$49,0), MATCH(L$1,products!$A$1:$G$1,0))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 = 0, "", _xlfn.XLOOKUP(C829,customers!$A$1:$A$1001,customers!$C$1:$C$1001,,0))</f>
        <v>ichartersmz@abc.net.au</v>
      </c>
      <c r="H829" s="2" t="str">
        <f>_xlfn.XLOOKUP(C829,customers!$A$1:$A$1001,customers!$G$1:$G$1001,,0)</f>
        <v>United States</v>
      </c>
      <c r="I829" t="str">
        <f>INDEX(products!$A$1:$G$49, MATCH(orders!$D829,products!$A$1:$A$49,0), MATCH(I$1,products!$A$1:$G$1,0))</f>
        <v>Exc</v>
      </c>
      <c r="J829" t="str">
        <f>INDEX(products!$A$1:$G$49, MATCH(orders!$D829,products!$A$1:$A$49,0), MATCH(J$1,products!$A$1:$G$1,0))</f>
        <v>M</v>
      </c>
      <c r="K829" s="4">
        <f>INDEX(products!$A$1:$G$49, MATCH(orders!$D829,products!$A$1:$A$49,0), MATCH(K$1,products!$A$1:$G$1,0))</f>
        <v>0.2</v>
      </c>
      <c r="L829" s="5">
        <f>INDEX(products!$A$1:$G$49, MATCH(orders!$D829,products!$A$1:$A$49,0), MATCH(L$1,products!$A$1:$G$1,0))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 = 0, "", _xlfn.XLOOKUP(C830,customers!$A$1:$A$1001,customers!$C$1:$C$1001,,0))</f>
        <v>aroubertn0@tmall.com</v>
      </c>
      <c r="H830" s="2" t="str">
        <f>_xlfn.XLOOKUP(C830,customers!$A$1:$A$1001,customers!$G$1:$G$1001,,0)</f>
        <v>United States</v>
      </c>
      <c r="I830" t="str">
        <f>INDEX(products!$A$1:$G$49, MATCH(orders!$D830,products!$A$1:$A$49,0), MATCH(I$1,products!$A$1:$G$1,0))</f>
        <v>Ara</v>
      </c>
      <c r="J830" t="str">
        <f>INDEX(products!$A$1:$G$49, MATCH(orders!$D830,products!$A$1:$A$49,0), MATCH(J$1,products!$A$1:$G$1,0))</f>
        <v>D</v>
      </c>
      <c r="K830" s="4">
        <f>INDEX(products!$A$1:$G$49, MATCH(orders!$D830,products!$A$1:$A$49,0), MATCH(K$1,products!$A$1:$G$1,0))</f>
        <v>2.5</v>
      </c>
      <c r="L830" s="5">
        <f>INDEX(products!$A$1:$G$49, MATCH(orders!$D830,products!$A$1:$A$49,0), MATCH(L$1,products!$A$1:$G$1,0))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 = 0, "", _xlfn.XLOOKUP(C831,customers!$A$1:$A$1001,customers!$C$1:$C$1001,,0))</f>
        <v>hmairsn1@so-net.ne.jp</v>
      </c>
      <c r="H831" s="2" t="str">
        <f>_xlfn.XLOOKUP(C831,customers!$A$1:$A$1001,customers!$G$1:$G$1001,,0)</f>
        <v>United States</v>
      </c>
      <c r="I831" t="str">
        <f>INDEX(products!$A$1:$G$49, MATCH(orders!$D831,products!$A$1:$A$49,0), MATCH(I$1,products!$A$1:$G$1,0))</f>
        <v>Ara</v>
      </c>
      <c r="J831" t="str">
        <f>INDEX(products!$A$1:$G$49, MATCH(orders!$D831,products!$A$1:$A$49,0), MATCH(J$1,products!$A$1:$G$1,0))</f>
        <v>D</v>
      </c>
      <c r="K831" s="4">
        <f>INDEX(products!$A$1:$G$49, MATCH(orders!$D831,products!$A$1:$A$49,0), MATCH(K$1,products!$A$1:$G$1,0))</f>
        <v>0.2</v>
      </c>
      <c r="L831" s="5">
        <f>INDEX(products!$A$1:$G$49, MATCH(orders!$D831,products!$A$1:$A$49,0), MATCH(L$1,products!$A$1:$G$1,0))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 = 0, "", _xlfn.XLOOKUP(C832,customers!$A$1:$A$1001,customers!$C$1:$C$1001,,0))</f>
        <v>hrainforthn2@blog.com</v>
      </c>
      <c r="H832" s="2" t="str">
        <f>_xlfn.XLOOKUP(C832,customers!$A$1:$A$1001,customers!$G$1:$G$1001,,0)</f>
        <v>United States</v>
      </c>
      <c r="I832" t="str">
        <f>INDEX(products!$A$1:$G$49, MATCH(orders!$D832,products!$A$1:$A$49,0), MATCH(I$1,products!$A$1:$G$1,0))</f>
        <v>Exc</v>
      </c>
      <c r="J832" t="str">
        <f>INDEX(products!$A$1:$G$49, MATCH(orders!$D832,products!$A$1:$A$49,0), MATCH(J$1,products!$A$1:$G$1,0))</f>
        <v>M</v>
      </c>
      <c r="K832" s="4">
        <f>INDEX(products!$A$1:$G$49, MATCH(orders!$D832,products!$A$1:$A$49,0), MATCH(K$1,products!$A$1:$G$1,0))</f>
        <v>1</v>
      </c>
      <c r="L832" s="5">
        <f>INDEX(products!$A$1:$G$49, MATCH(orders!$D832,products!$A$1:$A$49,0), MATCH(L$1,products!$A$1:$G$1,0))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 = 0, "", _xlfn.XLOOKUP(C833,customers!$A$1:$A$1001,customers!$C$1:$C$1001,,0))</f>
        <v>hrainforthn2@blog.com</v>
      </c>
      <c r="H833" s="2" t="str">
        <f>_xlfn.XLOOKUP(C833,customers!$A$1:$A$1001,customers!$G$1:$G$1001,,0)</f>
        <v>United States</v>
      </c>
      <c r="I833" t="str">
        <f>INDEX(products!$A$1:$G$49, MATCH(orders!$D833,products!$A$1:$A$49,0), MATCH(I$1,products!$A$1:$G$1,0))</f>
        <v>Ara</v>
      </c>
      <c r="J833" t="str">
        <f>INDEX(products!$A$1:$G$49, MATCH(orders!$D833,products!$A$1:$A$49,0), MATCH(J$1,products!$A$1:$G$1,0))</f>
        <v>D</v>
      </c>
      <c r="K833" s="4">
        <f>INDEX(products!$A$1:$G$49, MATCH(orders!$D833,products!$A$1:$A$49,0), MATCH(K$1,products!$A$1:$G$1,0))</f>
        <v>0.2</v>
      </c>
      <c r="L833" s="5">
        <f>INDEX(products!$A$1:$G$49, MATCH(orders!$D833,products!$A$1:$A$49,0), MATCH(L$1,products!$A$1:$G$1,0))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 = 0, "", _xlfn.XLOOKUP(C834,customers!$A$1:$A$1001,customers!$C$1:$C$1001,,0))</f>
        <v>ijespern4@theglobeandmail.com</v>
      </c>
      <c r="H834" s="2" t="str">
        <f>_xlfn.XLOOKUP(C834,customers!$A$1:$A$1001,customers!$G$1:$G$1001,,0)</f>
        <v>United States</v>
      </c>
      <c r="I834" t="str">
        <f>INDEX(products!$A$1:$G$49, MATCH(orders!$D834,products!$A$1:$A$49,0), MATCH(I$1,products!$A$1:$G$1,0))</f>
        <v>Rob</v>
      </c>
      <c r="J834" t="str">
        <f>INDEX(products!$A$1:$G$49, MATCH(orders!$D834,products!$A$1:$A$49,0), MATCH(J$1,products!$A$1:$G$1,0))</f>
        <v>M</v>
      </c>
      <c r="K834" s="4">
        <f>INDEX(products!$A$1:$G$49, MATCH(orders!$D834,products!$A$1:$A$49,0), MATCH(K$1,products!$A$1:$G$1,0))</f>
        <v>1</v>
      </c>
      <c r="L834" s="5">
        <f>INDEX(products!$A$1:$G$49, MATCH(orders!$D834,products!$A$1:$A$49,0), MATCH(L$1,products!$A$1:$G$1,0))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 = 0, "", _xlfn.XLOOKUP(C835,customers!$A$1:$A$1001,customers!$C$1:$C$1001,,0))</f>
        <v>ldwerryhousen5@gravatar.com</v>
      </c>
      <c r="H835" s="2" t="str">
        <f>_xlfn.XLOOKUP(C835,customers!$A$1:$A$1001,customers!$G$1:$G$1001,,0)</f>
        <v>United States</v>
      </c>
      <c r="I835" t="str">
        <f>INDEX(products!$A$1:$G$49, MATCH(orders!$D835,products!$A$1:$A$49,0), MATCH(I$1,products!$A$1:$G$1,0))</f>
        <v>Rob</v>
      </c>
      <c r="J835" t="str">
        <f>INDEX(products!$A$1:$G$49, MATCH(orders!$D835,products!$A$1:$A$49,0), MATCH(J$1,products!$A$1:$G$1,0))</f>
        <v>D</v>
      </c>
      <c r="K835" s="4">
        <f>INDEX(products!$A$1:$G$49, MATCH(orders!$D835,products!$A$1:$A$49,0), MATCH(K$1,products!$A$1:$G$1,0))</f>
        <v>2.5</v>
      </c>
      <c r="L835" s="5">
        <f>INDEX(products!$A$1:$G$49, MATCH(orders!$D835,products!$A$1:$A$49,0), MATCH(L$1,products!$A$1:$G$1,0))</f>
        <v>20.584999999999997</v>
      </c>
      <c r="M835" s="5">
        <f t="shared" ref="M835:M898" si="39">L835*E835</f>
        <v>82.339999999999989</v>
      </c>
      <c r="N835" t="str">
        <f t="shared" ref="N835:N898" si="40">IF(I835="Rob", "Robusta", IF(I835 = "Exc", "Excelsa", IF(I835 = "Ara", "Arabica", IF(I835 = "Lib", "Liberica", ""))))</f>
        <v>Robusta</v>
      </c>
      <c r="O835" t="str">
        <f t="shared" ref="O835:O898" si="41">IF(J835 = "M", "Medium", IF(J835 = "L", "Light", IF( J835 = "D", "Dark", "")))</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 = 0, "", _xlfn.XLOOKUP(C836,customers!$A$1:$A$1001,customers!$C$1:$C$1001,,0))</f>
        <v>nbroomern6@examiner.com</v>
      </c>
      <c r="H836" s="2" t="str">
        <f>_xlfn.XLOOKUP(C836,customers!$A$1:$A$1001,customers!$G$1:$G$1001,,0)</f>
        <v>United States</v>
      </c>
      <c r="I836" t="str">
        <f>INDEX(products!$A$1:$G$49, MATCH(orders!$D836,products!$A$1:$A$49,0), MATCH(I$1,products!$A$1:$G$1,0))</f>
        <v>Ara</v>
      </c>
      <c r="J836" t="str">
        <f>INDEX(products!$A$1:$G$49, MATCH(orders!$D836,products!$A$1:$A$49,0), MATCH(J$1,products!$A$1:$G$1,0))</f>
        <v>D</v>
      </c>
      <c r="K836" s="4">
        <f>INDEX(products!$A$1:$G$49, MATCH(orders!$D836,products!$A$1:$A$49,0), MATCH(K$1,products!$A$1:$G$1,0))</f>
        <v>2.5</v>
      </c>
      <c r="L836" s="5">
        <f>INDEX(products!$A$1:$G$49, MATCH(orders!$D836,products!$A$1:$A$49,0), MATCH(L$1,products!$A$1:$G$1,0))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 = 0, "", _xlfn.XLOOKUP(C837,customers!$A$1:$A$1001,customers!$C$1:$C$1001,,0))</f>
        <v>kthoumassonn7@bloglovin.com</v>
      </c>
      <c r="H837" s="2" t="str">
        <f>_xlfn.XLOOKUP(C837,customers!$A$1:$A$1001,customers!$G$1:$G$1001,,0)</f>
        <v>United States</v>
      </c>
      <c r="I837" t="str">
        <f>INDEX(products!$A$1:$G$49, MATCH(orders!$D837,products!$A$1:$A$49,0), MATCH(I$1,products!$A$1:$G$1,0))</f>
        <v>Exc</v>
      </c>
      <c r="J837" t="str">
        <f>INDEX(products!$A$1:$G$49, MATCH(orders!$D837,products!$A$1:$A$49,0), MATCH(J$1,products!$A$1:$G$1,0))</f>
        <v>L</v>
      </c>
      <c r="K837" s="4">
        <f>INDEX(products!$A$1:$G$49, MATCH(orders!$D837,products!$A$1:$A$49,0), MATCH(K$1,products!$A$1:$G$1,0))</f>
        <v>0.5</v>
      </c>
      <c r="L837" s="5">
        <f>INDEX(products!$A$1:$G$49, MATCH(orders!$D837,products!$A$1:$A$49,0), MATCH(L$1,products!$A$1:$G$1,0))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 = 0, "", _xlfn.XLOOKUP(C838,customers!$A$1:$A$1001,customers!$C$1:$C$1001,,0))</f>
        <v>fhabberghamn8@discovery.com</v>
      </c>
      <c r="H838" s="2" t="str">
        <f>_xlfn.XLOOKUP(C838,customers!$A$1:$A$1001,customers!$G$1:$G$1001,,0)</f>
        <v>United States</v>
      </c>
      <c r="I838" t="str">
        <f>INDEX(products!$A$1:$G$49, MATCH(orders!$D838,products!$A$1:$A$49,0), MATCH(I$1,products!$A$1:$G$1,0))</f>
        <v>Ara</v>
      </c>
      <c r="J838" t="str">
        <f>INDEX(products!$A$1:$G$49, MATCH(orders!$D838,products!$A$1:$A$49,0), MATCH(J$1,products!$A$1:$G$1,0))</f>
        <v>D</v>
      </c>
      <c r="K838" s="4">
        <f>INDEX(products!$A$1:$G$49, MATCH(orders!$D838,products!$A$1:$A$49,0), MATCH(K$1,products!$A$1:$G$1,0))</f>
        <v>0.2</v>
      </c>
      <c r="L838" s="5">
        <f>INDEX(products!$A$1:$G$49, MATCH(orders!$D838,products!$A$1:$A$49,0), MATCH(L$1,products!$A$1:$G$1,0))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 = 0, "", _xlfn.XLOOKUP(C839,customers!$A$1:$A$1001,customers!$C$1:$C$1001,,0))</f>
        <v/>
      </c>
      <c r="H839" s="2" t="str">
        <f>_xlfn.XLOOKUP(C839,customers!$A$1:$A$1001,customers!$G$1:$G$1001,,0)</f>
        <v>United States</v>
      </c>
      <c r="I839" t="str">
        <f>INDEX(products!$A$1:$G$49, MATCH(orders!$D839,products!$A$1:$A$49,0), MATCH(I$1,products!$A$1:$G$1,0))</f>
        <v>Lib</v>
      </c>
      <c r="J839" t="str">
        <f>INDEX(products!$A$1:$G$49, MATCH(orders!$D839,products!$A$1:$A$49,0), MATCH(J$1,products!$A$1:$G$1,0))</f>
        <v>M</v>
      </c>
      <c r="K839" s="4">
        <f>INDEX(products!$A$1:$G$49, MATCH(orders!$D839,products!$A$1:$A$49,0), MATCH(K$1,products!$A$1:$G$1,0))</f>
        <v>2.5</v>
      </c>
      <c r="L839" s="5">
        <f>INDEX(products!$A$1:$G$49, MATCH(orders!$D839,products!$A$1:$A$49,0), MATCH(L$1,products!$A$1:$G$1,0))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 = 0, "", _xlfn.XLOOKUP(C840,customers!$A$1:$A$1001,customers!$C$1:$C$1001,,0))</f>
        <v>ravrashinna@tamu.edu</v>
      </c>
      <c r="H840" s="2" t="str">
        <f>_xlfn.XLOOKUP(C840,customers!$A$1:$A$1001,customers!$G$1:$G$1001,,0)</f>
        <v>United States</v>
      </c>
      <c r="I840" t="str">
        <f>INDEX(products!$A$1:$G$49, MATCH(orders!$D840,products!$A$1:$A$49,0), MATCH(I$1,products!$A$1:$G$1,0))</f>
        <v>Ara</v>
      </c>
      <c r="J840" t="str">
        <f>INDEX(products!$A$1:$G$49, MATCH(orders!$D840,products!$A$1:$A$49,0), MATCH(J$1,products!$A$1:$G$1,0))</f>
        <v>D</v>
      </c>
      <c r="K840" s="4">
        <f>INDEX(products!$A$1:$G$49, MATCH(orders!$D840,products!$A$1:$A$49,0), MATCH(K$1,products!$A$1:$G$1,0))</f>
        <v>2.5</v>
      </c>
      <c r="L840" s="5">
        <f>INDEX(products!$A$1:$G$49, MATCH(orders!$D840,products!$A$1:$A$49,0), MATCH(L$1,products!$A$1:$G$1,0))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 = 0, "", _xlfn.XLOOKUP(C841,customers!$A$1:$A$1001,customers!$C$1:$C$1001,,0))</f>
        <v>mdoidgenb@etsy.com</v>
      </c>
      <c r="H841" s="2" t="str">
        <f>_xlfn.XLOOKUP(C841,customers!$A$1:$A$1001,customers!$G$1:$G$1001,,0)</f>
        <v>United States</v>
      </c>
      <c r="I841" t="str">
        <f>INDEX(products!$A$1:$G$49, MATCH(orders!$D841,products!$A$1:$A$49,0), MATCH(I$1,products!$A$1:$G$1,0))</f>
        <v>Exc</v>
      </c>
      <c r="J841" t="str">
        <f>INDEX(products!$A$1:$G$49, MATCH(orders!$D841,products!$A$1:$A$49,0), MATCH(J$1,products!$A$1:$G$1,0))</f>
        <v>M</v>
      </c>
      <c r="K841" s="4">
        <f>INDEX(products!$A$1:$G$49, MATCH(orders!$D841,products!$A$1:$A$49,0), MATCH(K$1,products!$A$1:$G$1,0))</f>
        <v>0.5</v>
      </c>
      <c r="L841" s="5">
        <f>INDEX(products!$A$1:$G$49, MATCH(orders!$D841,products!$A$1:$A$49,0), MATCH(L$1,products!$A$1:$G$1,0))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 = 0, "", _xlfn.XLOOKUP(C842,customers!$A$1:$A$1001,customers!$C$1:$C$1001,,0))</f>
        <v>jedinboronc@reverbnation.com</v>
      </c>
      <c r="H842" s="2" t="str">
        <f>_xlfn.XLOOKUP(C842,customers!$A$1:$A$1001,customers!$G$1:$G$1001,,0)</f>
        <v>United States</v>
      </c>
      <c r="I842" t="str">
        <f>INDEX(products!$A$1:$G$49, MATCH(orders!$D842,products!$A$1:$A$49,0), MATCH(I$1,products!$A$1:$G$1,0))</f>
        <v>Rob</v>
      </c>
      <c r="J842" t="str">
        <f>INDEX(products!$A$1:$G$49, MATCH(orders!$D842,products!$A$1:$A$49,0), MATCH(J$1,products!$A$1:$G$1,0))</f>
        <v>L</v>
      </c>
      <c r="K842" s="4">
        <f>INDEX(products!$A$1:$G$49, MATCH(orders!$D842,products!$A$1:$A$49,0), MATCH(K$1,products!$A$1:$G$1,0))</f>
        <v>0.5</v>
      </c>
      <c r="L842" s="5">
        <f>INDEX(products!$A$1:$G$49, MATCH(orders!$D842,products!$A$1:$A$49,0), MATCH(L$1,products!$A$1:$G$1,0))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 = 0, "", _xlfn.XLOOKUP(C843,customers!$A$1:$A$1001,customers!$C$1:$C$1001,,0))</f>
        <v>ttewelsonnd@cdbaby.com</v>
      </c>
      <c r="H843" s="2" t="str">
        <f>_xlfn.XLOOKUP(C843,customers!$A$1:$A$1001,customers!$G$1:$G$1001,,0)</f>
        <v>United States</v>
      </c>
      <c r="I843" t="str">
        <f>INDEX(products!$A$1:$G$49, MATCH(orders!$D843,products!$A$1:$A$49,0), MATCH(I$1,products!$A$1:$G$1,0))</f>
        <v>Lib</v>
      </c>
      <c r="J843" t="str">
        <f>INDEX(products!$A$1:$G$49, MATCH(orders!$D843,products!$A$1:$A$49,0), MATCH(J$1,products!$A$1:$G$1,0))</f>
        <v>M</v>
      </c>
      <c r="K843" s="4">
        <f>INDEX(products!$A$1:$G$49, MATCH(orders!$D843,products!$A$1:$A$49,0), MATCH(K$1,products!$A$1:$G$1,0))</f>
        <v>0.2</v>
      </c>
      <c r="L843" s="5">
        <f>INDEX(products!$A$1:$G$49, MATCH(orders!$D843,products!$A$1:$A$49,0), MATCH(L$1,products!$A$1:$G$1,0))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 = 0, "", _xlfn.XLOOKUP(C844,customers!$A$1:$A$1001,customers!$C$1:$C$1001,,0))</f>
        <v>oskermen3@hatena.ne.jp</v>
      </c>
      <c r="H844" s="2" t="str">
        <f>_xlfn.XLOOKUP(C844,customers!$A$1:$A$1001,customers!$G$1:$G$1001,,0)</f>
        <v>United States</v>
      </c>
      <c r="I844" t="str">
        <f>INDEX(products!$A$1:$G$49, MATCH(orders!$D844,products!$A$1:$A$49,0), MATCH(I$1,products!$A$1:$G$1,0))</f>
        <v>Exc</v>
      </c>
      <c r="J844" t="str">
        <f>INDEX(products!$A$1:$G$49, MATCH(orders!$D844,products!$A$1:$A$49,0), MATCH(J$1,products!$A$1:$G$1,0))</f>
        <v>M</v>
      </c>
      <c r="K844" s="4">
        <f>INDEX(products!$A$1:$G$49, MATCH(orders!$D844,products!$A$1:$A$49,0), MATCH(K$1,products!$A$1:$G$1,0))</f>
        <v>0.2</v>
      </c>
      <c r="L844" s="5">
        <f>INDEX(products!$A$1:$G$49, MATCH(orders!$D844,products!$A$1:$A$49,0), MATCH(L$1,products!$A$1:$G$1,0))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 = 0, "", _xlfn.XLOOKUP(C845,customers!$A$1:$A$1001,customers!$C$1:$C$1001,,0))</f>
        <v>ddrewittnf@mapquest.com</v>
      </c>
      <c r="H845" s="2" t="str">
        <f>_xlfn.XLOOKUP(C845,customers!$A$1:$A$1001,customers!$G$1:$G$1001,,0)</f>
        <v>United States</v>
      </c>
      <c r="I845" t="str">
        <f>INDEX(products!$A$1:$G$49, MATCH(orders!$D845,products!$A$1:$A$49,0), MATCH(I$1,products!$A$1:$G$1,0))</f>
        <v>Exc</v>
      </c>
      <c r="J845" t="str">
        <f>INDEX(products!$A$1:$G$49, MATCH(orders!$D845,products!$A$1:$A$49,0), MATCH(J$1,products!$A$1:$G$1,0))</f>
        <v>M</v>
      </c>
      <c r="K845" s="4">
        <f>INDEX(products!$A$1:$G$49, MATCH(orders!$D845,products!$A$1:$A$49,0), MATCH(K$1,products!$A$1:$G$1,0))</f>
        <v>0.2</v>
      </c>
      <c r="L845" s="5">
        <f>INDEX(products!$A$1:$G$49, MATCH(orders!$D845,products!$A$1:$A$49,0), MATCH(L$1,products!$A$1:$G$1,0))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 = 0, "", _xlfn.XLOOKUP(C846,customers!$A$1:$A$1001,customers!$C$1:$C$1001,,0))</f>
        <v>agladhillng@stanford.edu</v>
      </c>
      <c r="H846" s="2" t="str">
        <f>_xlfn.XLOOKUP(C846,customers!$A$1:$A$1001,customers!$G$1:$G$1001,,0)</f>
        <v>United States</v>
      </c>
      <c r="I846" t="str">
        <f>INDEX(products!$A$1:$G$49, MATCH(orders!$D846,products!$A$1:$A$49,0), MATCH(I$1,products!$A$1:$G$1,0))</f>
        <v>Ara</v>
      </c>
      <c r="J846" t="str">
        <f>INDEX(products!$A$1:$G$49, MATCH(orders!$D846,products!$A$1:$A$49,0), MATCH(J$1,products!$A$1:$G$1,0))</f>
        <v>D</v>
      </c>
      <c r="K846" s="4">
        <f>INDEX(products!$A$1:$G$49, MATCH(orders!$D846,products!$A$1:$A$49,0), MATCH(K$1,products!$A$1:$G$1,0))</f>
        <v>0.5</v>
      </c>
      <c r="L846" s="5">
        <f>INDEX(products!$A$1:$G$49, MATCH(orders!$D846,products!$A$1:$A$49,0), MATCH(L$1,products!$A$1:$G$1,0))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 = 0, "", _xlfn.XLOOKUP(C847,customers!$A$1:$A$1001,customers!$C$1:$C$1001,,0))</f>
        <v>mlorineznh@whitehouse.gov</v>
      </c>
      <c r="H847" s="2" t="str">
        <f>_xlfn.XLOOKUP(C847,customers!$A$1:$A$1001,customers!$G$1:$G$1001,,0)</f>
        <v>United States</v>
      </c>
      <c r="I847" t="str">
        <f>INDEX(products!$A$1:$G$49, MATCH(orders!$D847,products!$A$1:$A$49,0), MATCH(I$1,products!$A$1:$G$1,0))</f>
        <v>Exc</v>
      </c>
      <c r="J847" t="str">
        <f>INDEX(products!$A$1:$G$49, MATCH(orders!$D847,products!$A$1:$A$49,0), MATCH(J$1,products!$A$1:$G$1,0))</f>
        <v>D</v>
      </c>
      <c r="K847" s="4">
        <f>INDEX(products!$A$1:$G$49, MATCH(orders!$D847,products!$A$1:$A$49,0), MATCH(K$1,products!$A$1:$G$1,0))</f>
        <v>2.5</v>
      </c>
      <c r="L847" s="5">
        <f>INDEX(products!$A$1:$G$49, MATCH(orders!$D847,products!$A$1:$A$49,0), MATCH(L$1,products!$A$1:$G$1,0))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 = 0, "", _xlfn.XLOOKUP(C848,customers!$A$1:$A$1001,customers!$C$1:$C$1001,,0))</f>
        <v/>
      </c>
      <c r="H848" s="2" t="str">
        <f>_xlfn.XLOOKUP(C848,customers!$A$1:$A$1001,customers!$G$1:$G$1001,,0)</f>
        <v>United States</v>
      </c>
      <c r="I848" t="str">
        <f>INDEX(products!$A$1:$G$49, MATCH(orders!$D848,products!$A$1:$A$49,0), MATCH(I$1,products!$A$1:$G$1,0))</f>
        <v>Ara</v>
      </c>
      <c r="J848" t="str">
        <f>INDEX(products!$A$1:$G$49, MATCH(orders!$D848,products!$A$1:$A$49,0), MATCH(J$1,products!$A$1:$G$1,0))</f>
        <v>M</v>
      </c>
      <c r="K848" s="4">
        <f>INDEX(products!$A$1:$G$49, MATCH(orders!$D848,products!$A$1:$A$49,0), MATCH(K$1,products!$A$1:$G$1,0))</f>
        <v>2.5</v>
      </c>
      <c r="L848" s="5">
        <f>INDEX(products!$A$1:$G$49, MATCH(orders!$D848,products!$A$1:$A$49,0), MATCH(L$1,products!$A$1:$G$1,0))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 = 0, "", _xlfn.XLOOKUP(C849,customers!$A$1:$A$1001,customers!$C$1:$C$1001,,0))</f>
        <v>mvannj@wikipedia.org</v>
      </c>
      <c r="H849" s="2" t="str">
        <f>_xlfn.XLOOKUP(C849,customers!$A$1:$A$1001,customers!$G$1:$G$1001,,0)</f>
        <v>United States</v>
      </c>
      <c r="I849" t="str">
        <f>INDEX(products!$A$1:$G$49, MATCH(orders!$D849,products!$A$1:$A$49,0), MATCH(I$1,products!$A$1:$G$1,0))</f>
        <v>Ara</v>
      </c>
      <c r="J849" t="str">
        <f>INDEX(products!$A$1:$G$49, MATCH(orders!$D849,products!$A$1:$A$49,0), MATCH(J$1,products!$A$1:$G$1,0))</f>
        <v>D</v>
      </c>
      <c r="K849" s="4">
        <f>INDEX(products!$A$1:$G$49, MATCH(orders!$D849,products!$A$1:$A$49,0), MATCH(K$1,products!$A$1:$G$1,0))</f>
        <v>0.2</v>
      </c>
      <c r="L849" s="5">
        <f>INDEX(products!$A$1:$G$49, MATCH(orders!$D849,products!$A$1:$A$49,0), MATCH(L$1,products!$A$1:$G$1,0))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 = 0, "", _xlfn.XLOOKUP(C850,customers!$A$1:$A$1001,customers!$C$1:$C$1001,,0))</f>
        <v/>
      </c>
      <c r="H850" s="2" t="str">
        <f>_xlfn.XLOOKUP(C850,customers!$A$1:$A$1001,customers!$G$1:$G$1001,,0)</f>
        <v>United States</v>
      </c>
      <c r="I850" t="str">
        <f>INDEX(products!$A$1:$G$49, MATCH(orders!$D850,products!$A$1:$A$49,0), MATCH(I$1,products!$A$1:$G$1,0))</f>
        <v>Exc</v>
      </c>
      <c r="J850" t="str">
        <f>INDEX(products!$A$1:$G$49, MATCH(orders!$D850,products!$A$1:$A$49,0), MATCH(J$1,products!$A$1:$G$1,0))</f>
        <v>L</v>
      </c>
      <c r="K850" s="4">
        <f>INDEX(products!$A$1:$G$49, MATCH(orders!$D850,products!$A$1:$A$49,0), MATCH(K$1,products!$A$1:$G$1,0))</f>
        <v>0.5</v>
      </c>
      <c r="L850" s="5">
        <f>INDEX(products!$A$1:$G$49, MATCH(orders!$D850,products!$A$1:$A$49,0), MATCH(L$1,products!$A$1:$G$1,0))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 = 0, "", _xlfn.XLOOKUP(C851,customers!$A$1:$A$1001,customers!$C$1:$C$1001,,0))</f>
        <v>jethelstonnl@creativecommons.org</v>
      </c>
      <c r="H851" s="2" t="str">
        <f>_xlfn.XLOOKUP(C851,customers!$A$1:$A$1001,customers!$G$1:$G$1001,,0)</f>
        <v>United States</v>
      </c>
      <c r="I851" t="str">
        <f>INDEX(products!$A$1:$G$49, MATCH(orders!$D851,products!$A$1:$A$49,0), MATCH(I$1,products!$A$1:$G$1,0))</f>
        <v>Ara</v>
      </c>
      <c r="J851" t="str">
        <f>INDEX(products!$A$1:$G$49, MATCH(orders!$D851,products!$A$1:$A$49,0), MATCH(J$1,products!$A$1:$G$1,0))</f>
        <v>L</v>
      </c>
      <c r="K851" s="4">
        <f>INDEX(products!$A$1:$G$49, MATCH(orders!$D851,products!$A$1:$A$49,0), MATCH(K$1,products!$A$1:$G$1,0))</f>
        <v>0.2</v>
      </c>
      <c r="L851" s="5">
        <f>INDEX(products!$A$1:$G$49, MATCH(orders!$D851,products!$A$1:$A$49,0), MATCH(L$1,products!$A$1:$G$1,0))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 = 0, "", _xlfn.XLOOKUP(C852,customers!$A$1:$A$1001,customers!$C$1:$C$1001,,0))</f>
        <v>jethelstonnl@creativecommons.org</v>
      </c>
      <c r="H852" s="2" t="str">
        <f>_xlfn.XLOOKUP(C852,customers!$A$1:$A$1001,customers!$G$1:$G$1001,,0)</f>
        <v>United States</v>
      </c>
      <c r="I852" t="str">
        <f>INDEX(products!$A$1:$G$49, MATCH(orders!$D852,products!$A$1:$A$49,0), MATCH(I$1,products!$A$1:$G$1,0))</f>
        <v>Ara</v>
      </c>
      <c r="J852" t="str">
        <f>INDEX(products!$A$1:$G$49, MATCH(orders!$D852,products!$A$1:$A$49,0), MATCH(J$1,products!$A$1:$G$1,0))</f>
        <v>M</v>
      </c>
      <c r="K852" s="4">
        <f>INDEX(products!$A$1:$G$49, MATCH(orders!$D852,products!$A$1:$A$49,0), MATCH(K$1,products!$A$1:$G$1,0))</f>
        <v>0.2</v>
      </c>
      <c r="L852" s="5">
        <f>INDEX(products!$A$1:$G$49, MATCH(orders!$D852,products!$A$1:$A$49,0), MATCH(L$1,products!$A$1:$G$1,0))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 = 0, "", _xlfn.XLOOKUP(C853,customers!$A$1:$A$1001,customers!$C$1:$C$1001,,0))</f>
        <v>peberznn@woothemes.com</v>
      </c>
      <c r="H853" s="2" t="str">
        <f>_xlfn.XLOOKUP(C853,customers!$A$1:$A$1001,customers!$G$1:$G$1001,,0)</f>
        <v>United States</v>
      </c>
      <c r="I853" t="str">
        <f>INDEX(products!$A$1:$G$49, MATCH(orders!$D853,products!$A$1:$A$49,0), MATCH(I$1,products!$A$1:$G$1,0))</f>
        <v>Lib</v>
      </c>
      <c r="J853" t="str">
        <f>INDEX(products!$A$1:$G$49, MATCH(orders!$D853,products!$A$1:$A$49,0), MATCH(J$1,products!$A$1:$G$1,0))</f>
        <v>D</v>
      </c>
      <c r="K853" s="4">
        <f>INDEX(products!$A$1:$G$49, MATCH(orders!$D853,products!$A$1:$A$49,0), MATCH(K$1,products!$A$1:$G$1,0))</f>
        <v>0.5</v>
      </c>
      <c r="L853" s="5">
        <f>INDEX(products!$A$1:$G$49, MATCH(orders!$D853,products!$A$1:$A$49,0), MATCH(L$1,products!$A$1:$G$1,0))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 = 0, "", _xlfn.XLOOKUP(C854,customers!$A$1:$A$1001,customers!$C$1:$C$1001,,0))</f>
        <v>bgaishno@altervista.org</v>
      </c>
      <c r="H854" s="2" t="str">
        <f>_xlfn.XLOOKUP(C854,customers!$A$1:$A$1001,customers!$G$1:$G$1001,,0)</f>
        <v>United States</v>
      </c>
      <c r="I854" t="str">
        <f>INDEX(products!$A$1:$G$49, MATCH(orders!$D854,products!$A$1:$A$49,0), MATCH(I$1,products!$A$1:$G$1,0))</f>
        <v>Lib</v>
      </c>
      <c r="J854" t="str">
        <f>INDEX(products!$A$1:$G$49, MATCH(orders!$D854,products!$A$1:$A$49,0), MATCH(J$1,products!$A$1:$G$1,0))</f>
        <v>D</v>
      </c>
      <c r="K854" s="4">
        <f>INDEX(products!$A$1:$G$49, MATCH(orders!$D854,products!$A$1:$A$49,0), MATCH(K$1,products!$A$1:$G$1,0))</f>
        <v>2.5</v>
      </c>
      <c r="L854" s="5">
        <f>INDEX(products!$A$1:$G$49, MATCH(orders!$D854,products!$A$1:$A$49,0), MATCH(L$1,products!$A$1:$G$1,0))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 = 0, "", _xlfn.XLOOKUP(C855,customers!$A$1:$A$1001,customers!$C$1:$C$1001,,0))</f>
        <v>ldantonnp@miitbeian.gov.cn</v>
      </c>
      <c r="H855" s="2" t="str">
        <f>_xlfn.XLOOKUP(C855,customers!$A$1:$A$1001,customers!$G$1:$G$1001,,0)</f>
        <v>United States</v>
      </c>
      <c r="I855" t="str">
        <f>INDEX(products!$A$1:$G$49, MATCH(orders!$D855,products!$A$1:$A$49,0), MATCH(I$1,products!$A$1:$G$1,0))</f>
        <v>Ara</v>
      </c>
      <c r="J855" t="str">
        <f>INDEX(products!$A$1:$G$49, MATCH(orders!$D855,products!$A$1:$A$49,0), MATCH(J$1,products!$A$1:$G$1,0))</f>
        <v>D</v>
      </c>
      <c r="K855" s="4">
        <f>INDEX(products!$A$1:$G$49, MATCH(orders!$D855,products!$A$1:$A$49,0), MATCH(K$1,products!$A$1:$G$1,0))</f>
        <v>1</v>
      </c>
      <c r="L855" s="5">
        <f>INDEX(products!$A$1:$G$49, MATCH(orders!$D855,products!$A$1:$A$49,0), MATCH(L$1,products!$A$1:$G$1,0))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 = 0, "", _xlfn.XLOOKUP(C856,customers!$A$1:$A$1001,customers!$C$1:$C$1001,,0))</f>
        <v>smorrallnq@answers.com</v>
      </c>
      <c r="H856" s="2" t="str">
        <f>_xlfn.XLOOKUP(C856,customers!$A$1:$A$1001,customers!$G$1:$G$1001,,0)</f>
        <v>United States</v>
      </c>
      <c r="I856" t="str">
        <f>INDEX(products!$A$1:$G$49, MATCH(orders!$D856,products!$A$1:$A$49,0), MATCH(I$1,products!$A$1:$G$1,0))</f>
        <v>Rob</v>
      </c>
      <c r="J856" t="str">
        <f>INDEX(products!$A$1:$G$49, MATCH(orders!$D856,products!$A$1:$A$49,0), MATCH(J$1,products!$A$1:$G$1,0))</f>
        <v>L</v>
      </c>
      <c r="K856" s="4">
        <f>INDEX(products!$A$1:$G$49, MATCH(orders!$D856,products!$A$1:$A$49,0), MATCH(K$1,products!$A$1:$G$1,0))</f>
        <v>0.5</v>
      </c>
      <c r="L856" s="5">
        <f>INDEX(products!$A$1:$G$49, MATCH(orders!$D856,products!$A$1:$A$49,0), MATCH(L$1,products!$A$1:$G$1,0))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 = 0, "", _xlfn.XLOOKUP(C857,customers!$A$1:$A$1001,customers!$C$1:$C$1001,,0))</f>
        <v>dcrownshawnr@photobucket.com</v>
      </c>
      <c r="H857" s="2" t="str">
        <f>_xlfn.XLOOKUP(C857,customers!$A$1:$A$1001,customers!$G$1:$G$1001,,0)</f>
        <v>United States</v>
      </c>
      <c r="I857" t="str">
        <f>INDEX(products!$A$1:$G$49, MATCH(orders!$D857,products!$A$1:$A$49,0), MATCH(I$1,products!$A$1:$G$1,0))</f>
        <v>Lib</v>
      </c>
      <c r="J857" t="str">
        <f>INDEX(products!$A$1:$G$49, MATCH(orders!$D857,products!$A$1:$A$49,0), MATCH(J$1,products!$A$1:$G$1,0))</f>
        <v>D</v>
      </c>
      <c r="K857" s="4">
        <f>INDEX(products!$A$1:$G$49, MATCH(orders!$D857,products!$A$1:$A$49,0), MATCH(K$1,products!$A$1:$G$1,0))</f>
        <v>2.5</v>
      </c>
      <c r="L857" s="5">
        <f>INDEX(products!$A$1:$G$49, MATCH(orders!$D857,products!$A$1:$A$49,0), MATCH(L$1,products!$A$1:$G$1,0))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 = 0, "", _xlfn.XLOOKUP(C858,customers!$A$1:$A$1001,customers!$C$1:$C$1001,,0))</f>
        <v>oskermen3@hatena.ne.jp</v>
      </c>
      <c r="H858" s="2" t="str">
        <f>_xlfn.XLOOKUP(C858,customers!$A$1:$A$1001,customers!$G$1:$G$1001,,0)</f>
        <v>United States</v>
      </c>
      <c r="I858" t="str">
        <f>INDEX(products!$A$1:$G$49, MATCH(orders!$D858,products!$A$1:$A$49,0), MATCH(I$1,products!$A$1:$G$1,0))</f>
        <v>Lib</v>
      </c>
      <c r="J858" t="str">
        <f>INDEX(products!$A$1:$G$49, MATCH(orders!$D858,products!$A$1:$A$49,0), MATCH(J$1,products!$A$1:$G$1,0))</f>
        <v>M</v>
      </c>
      <c r="K858" s="4">
        <f>INDEX(products!$A$1:$G$49, MATCH(orders!$D858,products!$A$1:$A$49,0), MATCH(K$1,products!$A$1:$G$1,0))</f>
        <v>0.2</v>
      </c>
      <c r="L858" s="5">
        <f>INDEX(products!$A$1:$G$49, MATCH(orders!$D858,products!$A$1:$A$49,0), MATCH(L$1,products!$A$1:$G$1,0))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 = 0, "", _xlfn.XLOOKUP(C859,customers!$A$1:$A$1001,customers!$C$1:$C$1001,,0))</f>
        <v>jreddochnt@sun.com</v>
      </c>
      <c r="H859" s="2" t="str">
        <f>_xlfn.XLOOKUP(C859,customers!$A$1:$A$1001,customers!$G$1:$G$1001,,0)</f>
        <v>United States</v>
      </c>
      <c r="I859" t="str">
        <f>INDEX(products!$A$1:$G$49, MATCH(orders!$D859,products!$A$1:$A$49,0), MATCH(I$1,products!$A$1:$G$1,0))</f>
        <v>Rob</v>
      </c>
      <c r="J859" t="str">
        <f>INDEX(products!$A$1:$G$49, MATCH(orders!$D859,products!$A$1:$A$49,0), MATCH(J$1,products!$A$1:$G$1,0))</f>
        <v>L</v>
      </c>
      <c r="K859" s="4">
        <f>INDEX(products!$A$1:$G$49, MATCH(orders!$D859,products!$A$1:$A$49,0), MATCH(K$1,products!$A$1:$G$1,0))</f>
        <v>2.5</v>
      </c>
      <c r="L859" s="5">
        <f>INDEX(products!$A$1:$G$49, MATCH(orders!$D859,products!$A$1:$A$49,0), MATCH(L$1,products!$A$1:$G$1,0))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 = 0, "", _xlfn.XLOOKUP(C860,customers!$A$1:$A$1001,customers!$C$1:$C$1001,,0))</f>
        <v>stitleynu@whitehouse.gov</v>
      </c>
      <c r="H860" s="2" t="str">
        <f>_xlfn.XLOOKUP(C860,customers!$A$1:$A$1001,customers!$G$1:$G$1001,,0)</f>
        <v>United States</v>
      </c>
      <c r="I860" t="str">
        <f>INDEX(products!$A$1:$G$49, MATCH(orders!$D860,products!$A$1:$A$49,0), MATCH(I$1,products!$A$1:$G$1,0))</f>
        <v>Lib</v>
      </c>
      <c r="J860" t="str">
        <f>INDEX(products!$A$1:$G$49, MATCH(orders!$D860,products!$A$1:$A$49,0), MATCH(J$1,products!$A$1:$G$1,0))</f>
        <v>M</v>
      </c>
      <c r="K860" s="4">
        <f>INDEX(products!$A$1:$G$49, MATCH(orders!$D860,products!$A$1:$A$49,0), MATCH(K$1,products!$A$1:$G$1,0))</f>
        <v>0.5</v>
      </c>
      <c r="L860" s="5">
        <f>INDEX(products!$A$1:$G$49, MATCH(orders!$D860,products!$A$1:$A$49,0), MATCH(L$1,products!$A$1:$G$1,0))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 = 0, "", _xlfn.XLOOKUP(C861,customers!$A$1:$A$1001,customers!$C$1:$C$1001,,0))</f>
        <v>rsimaonv@simplemachines.org</v>
      </c>
      <c r="H861" s="2" t="str">
        <f>_xlfn.XLOOKUP(C861,customers!$A$1:$A$1001,customers!$G$1:$G$1001,,0)</f>
        <v>United States</v>
      </c>
      <c r="I861" t="str">
        <f>INDEX(products!$A$1:$G$49, MATCH(orders!$D861,products!$A$1:$A$49,0), MATCH(I$1,products!$A$1:$G$1,0))</f>
        <v>Ara</v>
      </c>
      <c r="J861" t="str">
        <f>INDEX(products!$A$1:$G$49, MATCH(orders!$D861,products!$A$1:$A$49,0), MATCH(J$1,products!$A$1:$G$1,0))</f>
        <v>L</v>
      </c>
      <c r="K861" s="4">
        <f>INDEX(products!$A$1:$G$49, MATCH(orders!$D861,products!$A$1:$A$49,0), MATCH(K$1,products!$A$1:$G$1,0))</f>
        <v>2.5</v>
      </c>
      <c r="L861" s="5">
        <f>INDEX(products!$A$1:$G$49, MATCH(orders!$D861,products!$A$1:$A$49,0), MATCH(L$1,products!$A$1:$G$1,0))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 = 0, "", _xlfn.XLOOKUP(C862,customers!$A$1:$A$1001,customers!$C$1:$C$1001,,0))</f>
        <v/>
      </c>
      <c r="H862" s="2" t="str">
        <f>_xlfn.XLOOKUP(C862,customers!$A$1:$A$1001,customers!$G$1:$G$1001,,0)</f>
        <v>United States</v>
      </c>
      <c r="I862" t="str">
        <f>INDEX(products!$A$1:$G$49, MATCH(orders!$D862,products!$A$1:$A$49,0), MATCH(I$1,products!$A$1:$G$1,0))</f>
        <v>Ara</v>
      </c>
      <c r="J862" t="str">
        <f>INDEX(products!$A$1:$G$49, MATCH(orders!$D862,products!$A$1:$A$49,0), MATCH(J$1,products!$A$1:$G$1,0))</f>
        <v>M</v>
      </c>
      <c r="K862" s="4">
        <f>INDEX(products!$A$1:$G$49, MATCH(orders!$D862,products!$A$1:$A$49,0), MATCH(K$1,products!$A$1:$G$1,0))</f>
        <v>2.5</v>
      </c>
      <c r="L862" s="5">
        <f>INDEX(products!$A$1:$G$49, MATCH(orders!$D862,products!$A$1:$A$49,0), MATCH(L$1,products!$A$1:$G$1,0))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 = 0, "", _xlfn.XLOOKUP(C863,customers!$A$1:$A$1001,customers!$C$1:$C$1001,,0))</f>
        <v>nchisholmnx@example.com</v>
      </c>
      <c r="H863" s="2" t="str">
        <f>_xlfn.XLOOKUP(C863,customers!$A$1:$A$1001,customers!$G$1:$G$1001,,0)</f>
        <v>United States</v>
      </c>
      <c r="I863" t="str">
        <f>INDEX(products!$A$1:$G$49, MATCH(orders!$D863,products!$A$1:$A$49,0), MATCH(I$1,products!$A$1:$G$1,0))</f>
        <v>Lib</v>
      </c>
      <c r="J863" t="str">
        <f>INDEX(products!$A$1:$G$49, MATCH(orders!$D863,products!$A$1:$A$49,0), MATCH(J$1,products!$A$1:$G$1,0))</f>
        <v>D</v>
      </c>
      <c r="K863" s="4">
        <f>INDEX(products!$A$1:$G$49, MATCH(orders!$D863,products!$A$1:$A$49,0), MATCH(K$1,products!$A$1:$G$1,0))</f>
        <v>1</v>
      </c>
      <c r="L863" s="5">
        <f>INDEX(products!$A$1:$G$49, MATCH(orders!$D863,products!$A$1:$A$49,0), MATCH(L$1,products!$A$1:$G$1,0))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 = 0, "", _xlfn.XLOOKUP(C864,customers!$A$1:$A$1001,customers!$C$1:$C$1001,,0))</f>
        <v>goatsny@live.com</v>
      </c>
      <c r="H864" s="2" t="str">
        <f>_xlfn.XLOOKUP(C864,customers!$A$1:$A$1001,customers!$G$1:$G$1001,,0)</f>
        <v>United States</v>
      </c>
      <c r="I864" t="str">
        <f>INDEX(products!$A$1:$G$49, MATCH(orders!$D864,products!$A$1:$A$49,0), MATCH(I$1,products!$A$1:$G$1,0))</f>
        <v>Rob</v>
      </c>
      <c r="J864" t="str">
        <f>INDEX(products!$A$1:$G$49, MATCH(orders!$D864,products!$A$1:$A$49,0), MATCH(J$1,products!$A$1:$G$1,0))</f>
        <v>M</v>
      </c>
      <c r="K864" s="4">
        <f>INDEX(products!$A$1:$G$49, MATCH(orders!$D864,products!$A$1:$A$49,0), MATCH(K$1,products!$A$1:$G$1,0))</f>
        <v>1</v>
      </c>
      <c r="L864" s="5">
        <f>INDEX(products!$A$1:$G$49, MATCH(orders!$D864,products!$A$1:$A$49,0), MATCH(L$1,products!$A$1:$G$1,0))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 = 0, "", _xlfn.XLOOKUP(C865,customers!$A$1:$A$1001,customers!$C$1:$C$1001,,0))</f>
        <v>mbirkinnz@java.com</v>
      </c>
      <c r="H865" s="2" t="str">
        <f>_xlfn.XLOOKUP(C865,customers!$A$1:$A$1001,customers!$G$1:$G$1001,,0)</f>
        <v>United States</v>
      </c>
      <c r="I865" t="str">
        <f>INDEX(products!$A$1:$G$49, MATCH(orders!$D865,products!$A$1:$A$49,0), MATCH(I$1,products!$A$1:$G$1,0))</f>
        <v>Lib</v>
      </c>
      <c r="J865" t="str">
        <f>INDEX(products!$A$1:$G$49, MATCH(orders!$D865,products!$A$1:$A$49,0), MATCH(J$1,products!$A$1:$G$1,0))</f>
        <v>M</v>
      </c>
      <c r="K865" s="4">
        <f>INDEX(products!$A$1:$G$49, MATCH(orders!$D865,products!$A$1:$A$49,0), MATCH(K$1,products!$A$1:$G$1,0))</f>
        <v>1</v>
      </c>
      <c r="L865" s="5">
        <f>INDEX(products!$A$1:$G$49, MATCH(orders!$D865,products!$A$1:$A$49,0), MATCH(L$1,products!$A$1:$G$1,0))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 = 0, "", _xlfn.XLOOKUP(C866,customers!$A$1:$A$1001,customers!$C$1:$C$1001,,0))</f>
        <v>rpysono0@constantcontact.com</v>
      </c>
      <c r="H866" s="2" t="str">
        <f>_xlfn.XLOOKUP(C866,customers!$A$1:$A$1001,customers!$G$1:$G$1001,,0)</f>
        <v>Ireland</v>
      </c>
      <c r="I866" t="str">
        <f>INDEX(products!$A$1:$G$49, MATCH(orders!$D866,products!$A$1:$A$49,0), MATCH(I$1,products!$A$1:$G$1,0))</f>
        <v>Rob</v>
      </c>
      <c r="J866" t="str">
        <f>INDEX(products!$A$1:$G$49, MATCH(orders!$D866,products!$A$1:$A$49,0), MATCH(J$1,products!$A$1:$G$1,0))</f>
        <v>L</v>
      </c>
      <c r="K866" s="4">
        <f>INDEX(products!$A$1:$G$49, MATCH(orders!$D866,products!$A$1:$A$49,0), MATCH(K$1,products!$A$1:$G$1,0))</f>
        <v>0.2</v>
      </c>
      <c r="L866" s="5">
        <f>INDEX(products!$A$1:$G$49, MATCH(orders!$D866,products!$A$1:$A$49,0), MATCH(L$1,products!$A$1:$G$1,0))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 = 0, "", _xlfn.XLOOKUP(C867,customers!$A$1:$A$1001,customers!$C$1:$C$1001,,0))</f>
        <v>mmacconnechieo9@reuters.com</v>
      </c>
      <c r="H867" s="2" t="str">
        <f>_xlfn.XLOOKUP(C867,customers!$A$1:$A$1001,customers!$G$1:$G$1001,,0)</f>
        <v>United States</v>
      </c>
      <c r="I867" t="str">
        <f>INDEX(products!$A$1:$G$49, MATCH(orders!$D867,products!$A$1:$A$49,0), MATCH(I$1,products!$A$1:$G$1,0))</f>
        <v>Ara</v>
      </c>
      <c r="J867" t="str">
        <f>INDEX(products!$A$1:$G$49, MATCH(orders!$D867,products!$A$1:$A$49,0), MATCH(J$1,products!$A$1:$G$1,0))</f>
        <v>M</v>
      </c>
      <c r="K867" s="4">
        <f>INDEX(products!$A$1:$G$49, MATCH(orders!$D867,products!$A$1:$A$49,0), MATCH(K$1,products!$A$1:$G$1,0))</f>
        <v>0.5</v>
      </c>
      <c r="L867" s="5">
        <f>INDEX(products!$A$1:$G$49, MATCH(orders!$D867,products!$A$1:$A$49,0), MATCH(L$1,products!$A$1:$G$1,0))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 = 0, "", _xlfn.XLOOKUP(C868,customers!$A$1:$A$1001,customers!$C$1:$C$1001,,0))</f>
        <v>rtreachero2@usa.gov</v>
      </c>
      <c r="H868" s="2" t="str">
        <f>_xlfn.XLOOKUP(C868,customers!$A$1:$A$1001,customers!$G$1:$G$1001,,0)</f>
        <v>Ireland</v>
      </c>
      <c r="I868" t="str">
        <f>INDEX(products!$A$1:$G$49, MATCH(orders!$D868,products!$A$1:$A$49,0), MATCH(I$1,products!$A$1:$G$1,0))</f>
        <v>Ara</v>
      </c>
      <c r="J868" t="str">
        <f>INDEX(products!$A$1:$G$49, MATCH(orders!$D868,products!$A$1:$A$49,0), MATCH(J$1,products!$A$1:$G$1,0))</f>
        <v>D</v>
      </c>
      <c r="K868" s="4">
        <f>INDEX(products!$A$1:$G$49, MATCH(orders!$D868,products!$A$1:$A$49,0), MATCH(K$1,products!$A$1:$G$1,0))</f>
        <v>0.5</v>
      </c>
      <c r="L868" s="5">
        <f>INDEX(products!$A$1:$G$49, MATCH(orders!$D868,products!$A$1:$A$49,0), MATCH(L$1,products!$A$1:$G$1,0))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 = 0, "", _xlfn.XLOOKUP(C869,customers!$A$1:$A$1001,customers!$C$1:$C$1001,,0))</f>
        <v>bfattorinio3@quantcast.com</v>
      </c>
      <c r="H869" s="2" t="str">
        <f>_xlfn.XLOOKUP(C869,customers!$A$1:$A$1001,customers!$G$1:$G$1001,,0)</f>
        <v>Ireland</v>
      </c>
      <c r="I869" t="str">
        <f>INDEX(products!$A$1:$G$49, MATCH(orders!$D869,products!$A$1:$A$49,0), MATCH(I$1,products!$A$1:$G$1,0))</f>
        <v>Ara</v>
      </c>
      <c r="J869" t="str">
        <f>INDEX(products!$A$1:$G$49, MATCH(orders!$D869,products!$A$1:$A$49,0), MATCH(J$1,products!$A$1:$G$1,0))</f>
        <v>L</v>
      </c>
      <c r="K869" s="4">
        <f>INDEX(products!$A$1:$G$49, MATCH(orders!$D869,products!$A$1:$A$49,0), MATCH(K$1,products!$A$1:$G$1,0))</f>
        <v>2.5</v>
      </c>
      <c r="L869" s="5">
        <f>INDEX(products!$A$1:$G$49, MATCH(orders!$D869,products!$A$1:$A$49,0), MATCH(L$1,products!$A$1:$G$1,0))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 = 0, "", _xlfn.XLOOKUP(C870,customers!$A$1:$A$1001,customers!$C$1:$C$1001,,0))</f>
        <v>mpalleskeo4@nyu.edu</v>
      </c>
      <c r="H870" s="2" t="str">
        <f>_xlfn.XLOOKUP(C870,customers!$A$1:$A$1001,customers!$G$1:$G$1001,,0)</f>
        <v>United States</v>
      </c>
      <c r="I870" t="str">
        <f>INDEX(products!$A$1:$G$49, MATCH(orders!$D870,products!$A$1:$A$49,0), MATCH(I$1,products!$A$1:$G$1,0))</f>
        <v>Exc</v>
      </c>
      <c r="J870" t="str">
        <f>INDEX(products!$A$1:$G$49, MATCH(orders!$D870,products!$A$1:$A$49,0), MATCH(J$1,products!$A$1:$G$1,0))</f>
        <v>M</v>
      </c>
      <c r="K870" s="4">
        <f>INDEX(products!$A$1:$G$49, MATCH(orders!$D870,products!$A$1:$A$49,0), MATCH(K$1,products!$A$1:$G$1,0))</f>
        <v>0.5</v>
      </c>
      <c r="L870" s="5">
        <f>INDEX(products!$A$1:$G$49, MATCH(orders!$D870,products!$A$1:$A$49,0), MATCH(L$1,products!$A$1:$G$1,0))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 = 0, "", _xlfn.XLOOKUP(C871,customers!$A$1:$A$1001,customers!$C$1:$C$1001,,0))</f>
        <v/>
      </c>
      <c r="H871" s="2" t="str">
        <f>_xlfn.XLOOKUP(C871,customers!$A$1:$A$1001,customers!$G$1:$G$1001,,0)</f>
        <v>United States</v>
      </c>
      <c r="I871" t="str">
        <f>INDEX(products!$A$1:$G$49, MATCH(orders!$D871,products!$A$1:$A$49,0), MATCH(I$1,products!$A$1:$G$1,0))</f>
        <v>Rob</v>
      </c>
      <c r="J871" t="str">
        <f>INDEX(products!$A$1:$G$49, MATCH(orders!$D871,products!$A$1:$A$49,0), MATCH(J$1,products!$A$1:$G$1,0))</f>
        <v>M</v>
      </c>
      <c r="K871" s="4">
        <f>INDEX(products!$A$1:$G$49, MATCH(orders!$D871,products!$A$1:$A$49,0), MATCH(K$1,products!$A$1:$G$1,0))</f>
        <v>0.5</v>
      </c>
      <c r="L871" s="5">
        <f>INDEX(products!$A$1:$G$49, MATCH(orders!$D871,products!$A$1:$A$49,0), MATCH(L$1,products!$A$1:$G$1,0))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 = 0, "", _xlfn.XLOOKUP(C872,customers!$A$1:$A$1001,customers!$C$1:$C$1001,,0))</f>
        <v>fantcliffeo6@amazon.co.jp</v>
      </c>
      <c r="H872" s="2" t="str">
        <f>_xlfn.XLOOKUP(C872,customers!$A$1:$A$1001,customers!$G$1:$G$1001,,0)</f>
        <v>Ireland</v>
      </c>
      <c r="I872" t="str">
        <f>INDEX(products!$A$1:$G$49, MATCH(orders!$D872,products!$A$1:$A$49,0), MATCH(I$1,products!$A$1:$G$1,0))</f>
        <v>Exc</v>
      </c>
      <c r="J872" t="str">
        <f>INDEX(products!$A$1:$G$49, MATCH(orders!$D872,products!$A$1:$A$49,0), MATCH(J$1,products!$A$1:$G$1,0))</f>
        <v>D</v>
      </c>
      <c r="K872" s="4">
        <f>INDEX(products!$A$1:$G$49, MATCH(orders!$D872,products!$A$1:$A$49,0), MATCH(K$1,products!$A$1:$G$1,0))</f>
        <v>0.5</v>
      </c>
      <c r="L872" s="5">
        <f>INDEX(products!$A$1:$G$49, MATCH(orders!$D872,products!$A$1:$A$49,0), MATCH(L$1,products!$A$1:$G$1,0))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 = 0, "", _xlfn.XLOOKUP(C873,customers!$A$1:$A$1001,customers!$C$1:$C$1001,,0))</f>
        <v>pmatignono7@harvard.edu</v>
      </c>
      <c r="H873" s="2" t="str">
        <f>_xlfn.XLOOKUP(C873,customers!$A$1:$A$1001,customers!$G$1:$G$1001,,0)</f>
        <v>United Kingdom</v>
      </c>
      <c r="I873" t="str">
        <f>INDEX(products!$A$1:$G$49, MATCH(orders!$D873,products!$A$1:$A$49,0), MATCH(I$1,products!$A$1:$G$1,0))</f>
        <v>Exc</v>
      </c>
      <c r="J873" t="str">
        <f>INDEX(products!$A$1:$G$49, MATCH(orders!$D873,products!$A$1:$A$49,0), MATCH(J$1,products!$A$1:$G$1,0))</f>
        <v>L</v>
      </c>
      <c r="K873" s="4">
        <f>INDEX(products!$A$1:$G$49, MATCH(orders!$D873,products!$A$1:$A$49,0), MATCH(K$1,products!$A$1:$G$1,0))</f>
        <v>1</v>
      </c>
      <c r="L873" s="5">
        <f>INDEX(products!$A$1:$G$49, MATCH(orders!$D873,products!$A$1:$A$49,0), MATCH(L$1,products!$A$1:$G$1,0))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 = 0, "", _xlfn.XLOOKUP(C874,customers!$A$1:$A$1001,customers!$C$1:$C$1001,,0))</f>
        <v>cweondo8@theglobeandmail.com</v>
      </c>
      <c r="H874" s="2" t="str">
        <f>_xlfn.XLOOKUP(C874,customers!$A$1:$A$1001,customers!$G$1:$G$1001,,0)</f>
        <v>United States</v>
      </c>
      <c r="I874" t="str">
        <f>INDEX(products!$A$1:$G$49, MATCH(orders!$D874,products!$A$1:$A$49,0), MATCH(I$1,products!$A$1:$G$1,0))</f>
        <v>Ara</v>
      </c>
      <c r="J874" t="str">
        <f>INDEX(products!$A$1:$G$49, MATCH(orders!$D874,products!$A$1:$A$49,0), MATCH(J$1,products!$A$1:$G$1,0))</f>
        <v>M</v>
      </c>
      <c r="K874" s="4">
        <f>INDEX(products!$A$1:$G$49, MATCH(orders!$D874,products!$A$1:$A$49,0), MATCH(K$1,products!$A$1:$G$1,0))</f>
        <v>1</v>
      </c>
      <c r="L874" s="5">
        <f>INDEX(products!$A$1:$G$49, MATCH(orders!$D874,products!$A$1:$A$49,0), MATCH(L$1,products!$A$1:$G$1,0))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 = 0, "", _xlfn.XLOOKUP(C875,customers!$A$1:$A$1001,customers!$C$1:$C$1001,,0))</f>
        <v>mmacconnechieo9@reuters.com</v>
      </c>
      <c r="H875" s="2" t="str">
        <f>_xlfn.XLOOKUP(C875,customers!$A$1:$A$1001,customers!$G$1:$G$1001,,0)</f>
        <v>United States</v>
      </c>
      <c r="I875" t="str">
        <f>INDEX(products!$A$1:$G$49, MATCH(orders!$D875,products!$A$1:$A$49,0), MATCH(I$1,products!$A$1:$G$1,0))</f>
        <v>Rob</v>
      </c>
      <c r="J875" t="str">
        <f>INDEX(products!$A$1:$G$49, MATCH(orders!$D875,products!$A$1:$A$49,0), MATCH(J$1,products!$A$1:$G$1,0))</f>
        <v>M</v>
      </c>
      <c r="K875" s="4">
        <f>INDEX(products!$A$1:$G$49, MATCH(orders!$D875,products!$A$1:$A$49,0), MATCH(K$1,products!$A$1:$G$1,0))</f>
        <v>0.2</v>
      </c>
      <c r="L875" s="5">
        <f>INDEX(products!$A$1:$G$49, MATCH(orders!$D875,products!$A$1:$A$49,0), MATCH(L$1,products!$A$1:$G$1,0))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 = 0, "", _xlfn.XLOOKUP(C876,customers!$A$1:$A$1001,customers!$C$1:$C$1001,,0))</f>
        <v>jskentelberyoa@paypal.com</v>
      </c>
      <c r="H876" s="2" t="str">
        <f>_xlfn.XLOOKUP(C876,customers!$A$1:$A$1001,customers!$G$1:$G$1001,,0)</f>
        <v>United States</v>
      </c>
      <c r="I876" t="str">
        <f>INDEX(products!$A$1:$G$49, MATCH(orders!$D876,products!$A$1:$A$49,0), MATCH(I$1,products!$A$1:$G$1,0))</f>
        <v>Ara</v>
      </c>
      <c r="J876" t="str">
        <f>INDEX(products!$A$1:$G$49, MATCH(orders!$D876,products!$A$1:$A$49,0), MATCH(J$1,products!$A$1:$G$1,0))</f>
        <v>L</v>
      </c>
      <c r="K876" s="4">
        <f>INDEX(products!$A$1:$G$49, MATCH(orders!$D876,products!$A$1:$A$49,0), MATCH(K$1,products!$A$1:$G$1,0))</f>
        <v>1</v>
      </c>
      <c r="L876" s="5">
        <f>INDEX(products!$A$1:$G$49, MATCH(orders!$D876,products!$A$1:$A$49,0), MATCH(L$1,products!$A$1:$G$1,0))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 = 0, "", _xlfn.XLOOKUP(C877,customers!$A$1:$A$1001,customers!$C$1:$C$1001,,0))</f>
        <v>ocomberob@goo.gl</v>
      </c>
      <c r="H877" s="2" t="str">
        <f>_xlfn.XLOOKUP(C877,customers!$A$1:$A$1001,customers!$G$1:$G$1001,,0)</f>
        <v>Ireland</v>
      </c>
      <c r="I877" t="str">
        <f>INDEX(products!$A$1:$G$49, MATCH(orders!$D877,products!$A$1:$A$49,0), MATCH(I$1,products!$A$1:$G$1,0))</f>
        <v>Lib</v>
      </c>
      <c r="J877" t="str">
        <f>INDEX(products!$A$1:$G$49, MATCH(orders!$D877,products!$A$1:$A$49,0), MATCH(J$1,products!$A$1:$G$1,0))</f>
        <v>M</v>
      </c>
      <c r="K877" s="4">
        <f>INDEX(products!$A$1:$G$49, MATCH(orders!$D877,products!$A$1:$A$49,0), MATCH(K$1,products!$A$1:$G$1,0))</f>
        <v>0.5</v>
      </c>
      <c r="L877" s="5">
        <f>INDEX(products!$A$1:$G$49, MATCH(orders!$D877,products!$A$1:$A$49,0), MATCH(L$1,products!$A$1:$G$1,0))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 = 0, "", _xlfn.XLOOKUP(C878,customers!$A$1:$A$1001,customers!$C$1:$C$1001,,0))</f>
        <v>ocomberob@goo.gl</v>
      </c>
      <c r="H878" s="2" t="str">
        <f>_xlfn.XLOOKUP(C878,customers!$A$1:$A$1001,customers!$G$1:$G$1001,,0)</f>
        <v>Ireland</v>
      </c>
      <c r="I878" t="str">
        <f>INDEX(products!$A$1:$G$49, MATCH(orders!$D878,products!$A$1:$A$49,0), MATCH(I$1,products!$A$1:$G$1,0))</f>
        <v>Ara</v>
      </c>
      <c r="J878" t="str">
        <f>INDEX(products!$A$1:$G$49, MATCH(orders!$D878,products!$A$1:$A$49,0), MATCH(J$1,products!$A$1:$G$1,0))</f>
        <v>L</v>
      </c>
      <c r="K878" s="4">
        <f>INDEX(products!$A$1:$G$49, MATCH(orders!$D878,products!$A$1:$A$49,0), MATCH(K$1,products!$A$1:$G$1,0))</f>
        <v>0.5</v>
      </c>
      <c r="L878" s="5">
        <f>INDEX(products!$A$1:$G$49, MATCH(orders!$D878,products!$A$1:$A$49,0), MATCH(L$1,products!$A$1:$G$1,0))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 = 0, "", _xlfn.XLOOKUP(C879,customers!$A$1:$A$1001,customers!$C$1:$C$1001,,0))</f>
        <v>ztramelod@netlog.com</v>
      </c>
      <c r="H879" s="2" t="str">
        <f>_xlfn.XLOOKUP(C879,customers!$A$1:$A$1001,customers!$G$1:$G$1001,,0)</f>
        <v>United States</v>
      </c>
      <c r="I879" t="str">
        <f>INDEX(products!$A$1:$G$49, MATCH(orders!$D879,products!$A$1:$A$49,0), MATCH(I$1,products!$A$1:$G$1,0))</f>
        <v>Lib</v>
      </c>
      <c r="J879" t="str">
        <f>INDEX(products!$A$1:$G$49, MATCH(orders!$D879,products!$A$1:$A$49,0), MATCH(J$1,products!$A$1:$G$1,0))</f>
        <v>L</v>
      </c>
      <c r="K879" s="4">
        <f>INDEX(products!$A$1:$G$49, MATCH(orders!$D879,products!$A$1:$A$49,0), MATCH(K$1,products!$A$1:$G$1,0))</f>
        <v>0.5</v>
      </c>
      <c r="L879" s="5">
        <f>INDEX(products!$A$1:$G$49, MATCH(orders!$D879,products!$A$1:$A$49,0), MATCH(L$1,products!$A$1:$G$1,0))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 = 0, "", _xlfn.XLOOKUP(C880,customers!$A$1:$A$1001,customers!$C$1:$C$1001,,0))</f>
        <v/>
      </c>
      <c r="H880" s="2" t="str">
        <f>_xlfn.XLOOKUP(C880,customers!$A$1:$A$1001,customers!$G$1:$G$1001,,0)</f>
        <v>United States</v>
      </c>
      <c r="I880" t="str">
        <f>INDEX(products!$A$1:$G$49, MATCH(orders!$D880,products!$A$1:$A$49,0), MATCH(I$1,products!$A$1:$G$1,0))</f>
        <v>Rob</v>
      </c>
      <c r="J880" t="str">
        <f>INDEX(products!$A$1:$G$49, MATCH(orders!$D880,products!$A$1:$A$49,0), MATCH(J$1,products!$A$1:$G$1,0))</f>
        <v>L</v>
      </c>
      <c r="K880" s="4">
        <f>INDEX(products!$A$1:$G$49, MATCH(orders!$D880,products!$A$1:$A$49,0), MATCH(K$1,products!$A$1:$G$1,0))</f>
        <v>2.5</v>
      </c>
      <c r="L880" s="5">
        <f>INDEX(products!$A$1:$G$49, MATCH(orders!$D880,products!$A$1:$A$49,0), MATCH(L$1,products!$A$1:$G$1,0))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 = 0, "", _xlfn.XLOOKUP(C881,customers!$A$1:$A$1001,customers!$C$1:$C$1001,,0))</f>
        <v/>
      </c>
      <c r="H881" s="2" t="str">
        <f>_xlfn.XLOOKUP(C881,customers!$A$1:$A$1001,customers!$G$1:$G$1001,,0)</f>
        <v>United States</v>
      </c>
      <c r="I881" t="str">
        <f>INDEX(products!$A$1:$G$49, MATCH(orders!$D881,products!$A$1:$A$49,0), MATCH(I$1,products!$A$1:$G$1,0))</f>
        <v>Exc</v>
      </c>
      <c r="J881" t="str">
        <f>INDEX(products!$A$1:$G$49, MATCH(orders!$D881,products!$A$1:$A$49,0), MATCH(J$1,products!$A$1:$G$1,0))</f>
        <v>D</v>
      </c>
      <c r="K881" s="4">
        <f>INDEX(products!$A$1:$G$49, MATCH(orders!$D881,products!$A$1:$A$49,0), MATCH(K$1,products!$A$1:$G$1,0))</f>
        <v>0.2</v>
      </c>
      <c r="L881" s="5">
        <f>INDEX(products!$A$1:$G$49, MATCH(orders!$D881,products!$A$1:$A$49,0), MATCH(L$1,products!$A$1:$G$1,0))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 = 0, "", _xlfn.XLOOKUP(C882,customers!$A$1:$A$1001,customers!$C$1:$C$1001,,0))</f>
        <v>chatfullog@ebay.com</v>
      </c>
      <c r="H882" s="2" t="str">
        <f>_xlfn.XLOOKUP(C882,customers!$A$1:$A$1001,customers!$G$1:$G$1001,,0)</f>
        <v>United States</v>
      </c>
      <c r="I882" t="str">
        <f>INDEX(products!$A$1:$G$49, MATCH(orders!$D882,products!$A$1:$A$49,0), MATCH(I$1,products!$A$1:$G$1,0))</f>
        <v>Rob</v>
      </c>
      <c r="J882" t="str">
        <f>INDEX(products!$A$1:$G$49, MATCH(orders!$D882,products!$A$1:$A$49,0), MATCH(J$1,products!$A$1:$G$1,0))</f>
        <v>L</v>
      </c>
      <c r="K882" s="4">
        <f>INDEX(products!$A$1:$G$49, MATCH(orders!$D882,products!$A$1:$A$49,0), MATCH(K$1,products!$A$1:$G$1,0))</f>
        <v>0.2</v>
      </c>
      <c r="L882" s="5">
        <f>INDEX(products!$A$1:$G$49, MATCH(orders!$D882,products!$A$1:$A$49,0), MATCH(L$1,products!$A$1:$G$1,0))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 = 0, "", _xlfn.XLOOKUP(C883,customers!$A$1:$A$1001,customers!$C$1:$C$1001,,0))</f>
        <v/>
      </c>
      <c r="H883" s="2" t="str">
        <f>_xlfn.XLOOKUP(C883,customers!$A$1:$A$1001,customers!$G$1:$G$1001,,0)</f>
        <v>United States</v>
      </c>
      <c r="I883" t="str">
        <f>INDEX(products!$A$1:$G$49, MATCH(orders!$D883,products!$A$1:$A$49,0), MATCH(I$1,products!$A$1:$G$1,0))</f>
        <v>Ara</v>
      </c>
      <c r="J883" t="str">
        <f>INDEX(products!$A$1:$G$49, MATCH(orders!$D883,products!$A$1:$A$49,0), MATCH(J$1,products!$A$1:$G$1,0))</f>
        <v>L</v>
      </c>
      <c r="K883" s="4">
        <f>INDEX(products!$A$1:$G$49, MATCH(orders!$D883,products!$A$1:$A$49,0), MATCH(K$1,products!$A$1:$G$1,0))</f>
        <v>0.2</v>
      </c>
      <c r="L883" s="5">
        <f>INDEX(products!$A$1:$G$49, MATCH(orders!$D883,products!$A$1:$A$49,0), MATCH(L$1,products!$A$1:$G$1,0))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 = 0, "", _xlfn.XLOOKUP(C884,customers!$A$1:$A$1001,customers!$C$1:$C$1001,,0))</f>
        <v>kmarrisonoq@dropbox.com</v>
      </c>
      <c r="H884" s="2" t="str">
        <f>_xlfn.XLOOKUP(C884,customers!$A$1:$A$1001,customers!$G$1:$G$1001,,0)</f>
        <v>United States</v>
      </c>
      <c r="I884" t="str">
        <f>INDEX(products!$A$1:$G$49, MATCH(orders!$D884,products!$A$1:$A$49,0), MATCH(I$1,products!$A$1:$G$1,0))</f>
        <v>Ara</v>
      </c>
      <c r="J884" t="str">
        <f>INDEX(products!$A$1:$G$49, MATCH(orders!$D884,products!$A$1:$A$49,0), MATCH(J$1,products!$A$1:$G$1,0))</f>
        <v>D</v>
      </c>
      <c r="K884" s="4">
        <f>INDEX(products!$A$1:$G$49, MATCH(orders!$D884,products!$A$1:$A$49,0), MATCH(K$1,products!$A$1:$G$1,0))</f>
        <v>2.5</v>
      </c>
      <c r="L884" s="5">
        <f>INDEX(products!$A$1:$G$49, MATCH(orders!$D884,products!$A$1:$A$49,0), MATCH(L$1,products!$A$1:$G$1,0))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 = 0, "", _xlfn.XLOOKUP(C885,customers!$A$1:$A$1001,customers!$C$1:$C$1001,,0))</f>
        <v>lagnolooj@pinterest.com</v>
      </c>
      <c r="H885" s="2" t="str">
        <f>_xlfn.XLOOKUP(C885,customers!$A$1:$A$1001,customers!$G$1:$G$1001,,0)</f>
        <v>United States</v>
      </c>
      <c r="I885" t="str">
        <f>INDEX(products!$A$1:$G$49, MATCH(orders!$D885,products!$A$1:$A$49,0), MATCH(I$1,products!$A$1:$G$1,0))</f>
        <v>Ara</v>
      </c>
      <c r="J885" t="str">
        <f>INDEX(products!$A$1:$G$49, MATCH(orders!$D885,products!$A$1:$A$49,0), MATCH(J$1,products!$A$1:$G$1,0))</f>
        <v>M</v>
      </c>
      <c r="K885" s="4">
        <f>INDEX(products!$A$1:$G$49, MATCH(orders!$D885,products!$A$1:$A$49,0), MATCH(K$1,products!$A$1:$G$1,0))</f>
        <v>2.5</v>
      </c>
      <c r="L885" s="5">
        <f>INDEX(products!$A$1:$G$49, MATCH(orders!$D885,products!$A$1:$A$49,0), MATCH(L$1,products!$A$1:$G$1,0))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 = 0, "", _xlfn.XLOOKUP(C886,customers!$A$1:$A$1001,customers!$C$1:$C$1001,,0))</f>
        <v>dkiddyok@fda.gov</v>
      </c>
      <c r="H886" s="2" t="str">
        <f>_xlfn.XLOOKUP(C886,customers!$A$1:$A$1001,customers!$G$1:$G$1001,,0)</f>
        <v>United States</v>
      </c>
      <c r="I886" t="str">
        <f>INDEX(products!$A$1:$G$49, MATCH(orders!$D886,products!$A$1:$A$49,0), MATCH(I$1,products!$A$1:$G$1,0))</f>
        <v>Rob</v>
      </c>
      <c r="J886" t="str">
        <f>INDEX(products!$A$1:$G$49, MATCH(orders!$D886,products!$A$1:$A$49,0), MATCH(J$1,products!$A$1:$G$1,0))</f>
        <v>D</v>
      </c>
      <c r="K886" s="4">
        <f>INDEX(products!$A$1:$G$49, MATCH(orders!$D886,products!$A$1:$A$49,0), MATCH(K$1,products!$A$1:$G$1,0))</f>
        <v>0.5</v>
      </c>
      <c r="L886" s="5">
        <f>INDEX(products!$A$1:$G$49, MATCH(orders!$D886,products!$A$1:$A$49,0), MATCH(L$1,products!$A$1:$G$1,0))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 = 0, "", _xlfn.XLOOKUP(C887,customers!$A$1:$A$1001,customers!$C$1:$C$1001,,0))</f>
        <v>hpetroulisol@state.tx.us</v>
      </c>
      <c r="H887" s="2" t="str">
        <f>_xlfn.XLOOKUP(C887,customers!$A$1:$A$1001,customers!$G$1:$G$1001,,0)</f>
        <v>Ireland</v>
      </c>
      <c r="I887" t="str">
        <f>INDEX(products!$A$1:$G$49, MATCH(orders!$D887,products!$A$1:$A$49,0), MATCH(I$1,products!$A$1:$G$1,0))</f>
        <v>Rob</v>
      </c>
      <c r="J887" t="str">
        <f>INDEX(products!$A$1:$G$49, MATCH(orders!$D887,products!$A$1:$A$49,0), MATCH(J$1,products!$A$1:$G$1,0))</f>
        <v>D</v>
      </c>
      <c r="K887" s="4">
        <f>INDEX(products!$A$1:$G$49, MATCH(orders!$D887,products!$A$1:$A$49,0), MATCH(K$1,products!$A$1:$G$1,0))</f>
        <v>2.5</v>
      </c>
      <c r="L887" s="5">
        <f>INDEX(products!$A$1:$G$49, MATCH(orders!$D887,products!$A$1:$A$49,0), MATCH(L$1,products!$A$1:$G$1,0))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 = 0, "", _xlfn.XLOOKUP(C888,customers!$A$1:$A$1001,customers!$C$1:$C$1001,,0))</f>
        <v>mschollom@taobao.com</v>
      </c>
      <c r="H888" s="2" t="str">
        <f>_xlfn.XLOOKUP(C888,customers!$A$1:$A$1001,customers!$G$1:$G$1001,,0)</f>
        <v>United States</v>
      </c>
      <c r="I888" t="str">
        <f>INDEX(products!$A$1:$G$49, MATCH(orders!$D888,products!$A$1:$A$49,0), MATCH(I$1,products!$A$1:$G$1,0))</f>
        <v>Lib</v>
      </c>
      <c r="J888" t="str">
        <f>INDEX(products!$A$1:$G$49, MATCH(orders!$D888,products!$A$1:$A$49,0), MATCH(J$1,products!$A$1:$G$1,0))</f>
        <v>M</v>
      </c>
      <c r="K888" s="4">
        <f>INDEX(products!$A$1:$G$49, MATCH(orders!$D888,products!$A$1:$A$49,0), MATCH(K$1,products!$A$1:$G$1,0))</f>
        <v>0.5</v>
      </c>
      <c r="L888" s="5">
        <f>INDEX(products!$A$1:$G$49, MATCH(orders!$D888,products!$A$1:$A$49,0), MATCH(L$1,products!$A$1:$G$1,0))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 = 0, "", _xlfn.XLOOKUP(C889,customers!$A$1:$A$1001,customers!$C$1:$C$1001,,0))</f>
        <v>kfersonon@g.co</v>
      </c>
      <c r="H889" s="2" t="str">
        <f>_xlfn.XLOOKUP(C889,customers!$A$1:$A$1001,customers!$G$1:$G$1001,,0)</f>
        <v>United States</v>
      </c>
      <c r="I889" t="str">
        <f>INDEX(products!$A$1:$G$49, MATCH(orders!$D889,products!$A$1:$A$49,0), MATCH(I$1,products!$A$1:$G$1,0))</f>
        <v>Exc</v>
      </c>
      <c r="J889" t="str">
        <f>INDEX(products!$A$1:$G$49, MATCH(orders!$D889,products!$A$1:$A$49,0), MATCH(J$1,products!$A$1:$G$1,0))</f>
        <v>L</v>
      </c>
      <c r="K889" s="4">
        <f>INDEX(products!$A$1:$G$49, MATCH(orders!$D889,products!$A$1:$A$49,0), MATCH(K$1,products!$A$1:$G$1,0))</f>
        <v>0.2</v>
      </c>
      <c r="L889" s="5">
        <f>INDEX(products!$A$1:$G$49, MATCH(orders!$D889,products!$A$1:$A$49,0), MATCH(L$1,products!$A$1:$G$1,0))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 = 0, "", _xlfn.XLOOKUP(C890,customers!$A$1:$A$1001,customers!$C$1:$C$1001,,0))</f>
        <v>bkellowayoo@omniture.com</v>
      </c>
      <c r="H890" s="2" t="str">
        <f>_xlfn.XLOOKUP(C890,customers!$A$1:$A$1001,customers!$G$1:$G$1001,,0)</f>
        <v>United States</v>
      </c>
      <c r="I890" t="str">
        <f>INDEX(products!$A$1:$G$49, MATCH(orders!$D890,products!$A$1:$A$49,0), MATCH(I$1,products!$A$1:$G$1,0))</f>
        <v>Ara</v>
      </c>
      <c r="J890" t="str">
        <f>INDEX(products!$A$1:$G$49, MATCH(orders!$D890,products!$A$1:$A$49,0), MATCH(J$1,products!$A$1:$G$1,0))</f>
        <v>L</v>
      </c>
      <c r="K890" s="4">
        <f>INDEX(products!$A$1:$G$49, MATCH(orders!$D890,products!$A$1:$A$49,0), MATCH(K$1,products!$A$1:$G$1,0))</f>
        <v>0.2</v>
      </c>
      <c r="L890" s="5">
        <f>INDEX(products!$A$1:$G$49, MATCH(orders!$D890,products!$A$1:$A$49,0), MATCH(L$1,products!$A$1:$G$1,0))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 = 0, "", _xlfn.XLOOKUP(C891,customers!$A$1:$A$1001,customers!$C$1:$C$1001,,0))</f>
        <v>soliffeop@yellowbook.com</v>
      </c>
      <c r="H891" s="2" t="str">
        <f>_xlfn.XLOOKUP(C891,customers!$A$1:$A$1001,customers!$G$1:$G$1001,,0)</f>
        <v>United States</v>
      </c>
      <c r="I891" t="str">
        <f>INDEX(products!$A$1:$G$49, MATCH(orders!$D891,products!$A$1:$A$49,0), MATCH(I$1,products!$A$1:$G$1,0))</f>
        <v>Rob</v>
      </c>
      <c r="J891" t="str">
        <f>INDEX(products!$A$1:$G$49, MATCH(orders!$D891,products!$A$1:$A$49,0), MATCH(J$1,products!$A$1:$G$1,0))</f>
        <v>D</v>
      </c>
      <c r="K891" s="4">
        <f>INDEX(products!$A$1:$G$49, MATCH(orders!$D891,products!$A$1:$A$49,0), MATCH(K$1,products!$A$1:$G$1,0))</f>
        <v>0.2</v>
      </c>
      <c r="L891" s="5">
        <f>INDEX(products!$A$1:$G$49, MATCH(orders!$D891,products!$A$1:$A$49,0), MATCH(L$1,products!$A$1:$G$1,0))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 = 0, "", _xlfn.XLOOKUP(C892,customers!$A$1:$A$1001,customers!$C$1:$C$1001,,0))</f>
        <v>kmarrisonoq@dropbox.com</v>
      </c>
      <c r="H892" s="2" t="str">
        <f>_xlfn.XLOOKUP(C892,customers!$A$1:$A$1001,customers!$G$1:$G$1001,,0)</f>
        <v>United States</v>
      </c>
      <c r="I892" t="str">
        <f>INDEX(products!$A$1:$G$49, MATCH(orders!$D892,products!$A$1:$A$49,0), MATCH(I$1,products!$A$1:$G$1,0))</f>
        <v>Rob</v>
      </c>
      <c r="J892" t="str">
        <f>INDEX(products!$A$1:$G$49, MATCH(orders!$D892,products!$A$1:$A$49,0), MATCH(J$1,products!$A$1:$G$1,0))</f>
        <v>D</v>
      </c>
      <c r="K892" s="4">
        <f>INDEX(products!$A$1:$G$49, MATCH(orders!$D892,products!$A$1:$A$49,0), MATCH(K$1,products!$A$1:$G$1,0))</f>
        <v>2.5</v>
      </c>
      <c r="L892" s="5">
        <f>INDEX(products!$A$1:$G$49, MATCH(orders!$D892,products!$A$1:$A$49,0), MATCH(L$1,products!$A$1:$G$1,0))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 = 0, "", _xlfn.XLOOKUP(C893,customers!$A$1:$A$1001,customers!$C$1:$C$1001,,0))</f>
        <v>cdolohuntyor@dailymail.co.uk</v>
      </c>
      <c r="H893" s="2" t="str">
        <f>_xlfn.XLOOKUP(C893,customers!$A$1:$A$1001,customers!$G$1:$G$1001,,0)</f>
        <v>United States</v>
      </c>
      <c r="I893" t="str">
        <f>INDEX(products!$A$1:$G$49, MATCH(orders!$D893,products!$A$1:$A$49,0), MATCH(I$1,products!$A$1:$G$1,0))</f>
        <v>Ara</v>
      </c>
      <c r="J893" t="str">
        <f>INDEX(products!$A$1:$G$49, MATCH(orders!$D893,products!$A$1:$A$49,0), MATCH(J$1,products!$A$1:$G$1,0))</f>
        <v>D</v>
      </c>
      <c r="K893" s="4">
        <f>INDEX(products!$A$1:$G$49, MATCH(orders!$D893,products!$A$1:$A$49,0), MATCH(K$1,products!$A$1:$G$1,0))</f>
        <v>2.5</v>
      </c>
      <c r="L893" s="5">
        <f>INDEX(products!$A$1:$G$49, MATCH(orders!$D893,products!$A$1:$A$49,0), MATCH(L$1,products!$A$1:$G$1,0))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 = 0, "", _xlfn.XLOOKUP(C894,customers!$A$1:$A$1001,customers!$C$1:$C$1001,,0))</f>
        <v>pvasilenkoos@addtoany.com</v>
      </c>
      <c r="H894" s="2" t="str">
        <f>_xlfn.XLOOKUP(C894,customers!$A$1:$A$1001,customers!$G$1:$G$1001,,0)</f>
        <v>United Kingdom</v>
      </c>
      <c r="I894" t="str">
        <f>INDEX(products!$A$1:$G$49, MATCH(orders!$D894,products!$A$1:$A$49,0), MATCH(I$1,products!$A$1:$G$1,0))</f>
        <v>Exc</v>
      </c>
      <c r="J894" t="str">
        <f>INDEX(products!$A$1:$G$49, MATCH(orders!$D894,products!$A$1:$A$49,0), MATCH(J$1,products!$A$1:$G$1,0))</f>
        <v>M</v>
      </c>
      <c r="K894" s="4">
        <f>INDEX(products!$A$1:$G$49, MATCH(orders!$D894,products!$A$1:$A$49,0), MATCH(K$1,products!$A$1:$G$1,0))</f>
        <v>0.2</v>
      </c>
      <c r="L894" s="5">
        <f>INDEX(products!$A$1:$G$49, MATCH(orders!$D894,products!$A$1:$A$49,0), MATCH(L$1,products!$A$1:$G$1,0))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 = 0, "", _xlfn.XLOOKUP(C895,customers!$A$1:$A$1001,customers!$C$1:$C$1001,,0))</f>
        <v>rschankelborgot@ameblo.jp</v>
      </c>
      <c r="H895" s="2" t="str">
        <f>_xlfn.XLOOKUP(C895,customers!$A$1:$A$1001,customers!$G$1:$G$1001,,0)</f>
        <v>United States</v>
      </c>
      <c r="I895" t="str">
        <f>INDEX(products!$A$1:$G$49, MATCH(orders!$D895,products!$A$1:$A$49,0), MATCH(I$1,products!$A$1:$G$1,0))</f>
        <v>Lib</v>
      </c>
      <c r="J895" t="str">
        <f>INDEX(products!$A$1:$G$49, MATCH(orders!$D895,products!$A$1:$A$49,0), MATCH(J$1,products!$A$1:$G$1,0))</f>
        <v>L</v>
      </c>
      <c r="K895" s="4">
        <f>INDEX(products!$A$1:$G$49, MATCH(orders!$D895,products!$A$1:$A$49,0), MATCH(K$1,products!$A$1:$G$1,0))</f>
        <v>0.5</v>
      </c>
      <c r="L895" s="5">
        <f>INDEX(products!$A$1:$G$49, MATCH(orders!$D895,products!$A$1:$A$49,0), MATCH(L$1,products!$A$1:$G$1,0))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 = 0, "", _xlfn.XLOOKUP(C896,customers!$A$1:$A$1001,customers!$C$1:$C$1001,,0))</f>
        <v/>
      </c>
      <c r="H896" s="2" t="str">
        <f>_xlfn.XLOOKUP(C896,customers!$A$1:$A$1001,customers!$G$1:$G$1001,,0)</f>
        <v>Ireland</v>
      </c>
      <c r="I896" t="str">
        <f>INDEX(products!$A$1:$G$49, MATCH(orders!$D896,products!$A$1:$A$49,0), MATCH(I$1,products!$A$1:$G$1,0))</f>
        <v>Rob</v>
      </c>
      <c r="J896" t="str">
        <f>INDEX(products!$A$1:$G$49, MATCH(orders!$D896,products!$A$1:$A$49,0), MATCH(J$1,products!$A$1:$G$1,0))</f>
        <v>D</v>
      </c>
      <c r="K896" s="4">
        <f>INDEX(products!$A$1:$G$49, MATCH(orders!$D896,products!$A$1:$A$49,0), MATCH(K$1,products!$A$1:$G$1,0))</f>
        <v>2.5</v>
      </c>
      <c r="L896" s="5">
        <f>INDEX(products!$A$1:$G$49, MATCH(orders!$D896,products!$A$1:$A$49,0), MATCH(L$1,products!$A$1:$G$1,0))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 = 0, "", _xlfn.XLOOKUP(C897,customers!$A$1:$A$1001,customers!$C$1:$C$1001,,0))</f>
        <v/>
      </c>
      <c r="H897" s="2" t="str">
        <f>_xlfn.XLOOKUP(C897,customers!$A$1:$A$1001,customers!$G$1:$G$1001,,0)</f>
        <v>United States</v>
      </c>
      <c r="I897" t="str">
        <f>INDEX(products!$A$1:$G$49, MATCH(orders!$D897,products!$A$1:$A$49,0), MATCH(I$1,products!$A$1:$G$1,0))</f>
        <v>Exc</v>
      </c>
      <c r="J897" t="str">
        <f>INDEX(products!$A$1:$G$49, MATCH(orders!$D897,products!$A$1:$A$49,0), MATCH(J$1,products!$A$1:$G$1,0))</f>
        <v>M</v>
      </c>
      <c r="K897" s="4">
        <f>INDEX(products!$A$1:$G$49, MATCH(orders!$D897,products!$A$1:$A$49,0), MATCH(K$1,products!$A$1:$G$1,0))</f>
        <v>2.5</v>
      </c>
      <c r="L897" s="5">
        <f>INDEX(products!$A$1:$G$49, MATCH(orders!$D897,products!$A$1:$A$49,0), MATCH(L$1,products!$A$1:$G$1,0))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 = 0, "", _xlfn.XLOOKUP(C898,customers!$A$1:$A$1001,customers!$C$1:$C$1001,,0))</f>
        <v>bcargenow@geocities.jp</v>
      </c>
      <c r="H898" s="2" t="str">
        <f>_xlfn.XLOOKUP(C898,customers!$A$1:$A$1001,customers!$G$1:$G$1001,,0)</f>
        <v>United States</v>
      </c>
      <c r="I898" t="str">
        <f>INDEX(products!$A$1:$G$49, MATCH(orders!$D898,products!$A$1:$A$49,0), MATCH(I$1,products!$A$1:$G$1,0))</f>
        <v>Rob</v>
      </c>
      <c r="J898" t="str">
        <f>INDEX(products!$A$1:$G$49, MATCH(orders!$D898,products!$A$1:$A$49,0), MATCH(J$1,products!$A$1:$G$1,0))</f>
        <v>D</v>
      </c>
      <c r="K898" s="4">
        <f>INDEX(products!$A$1:$G$49, MATCH(orders!$D898,products!$A$1:$A$49,0), MATCH(K$1,products!$A$1:$G$1,0))</f>
        <v>0.5</v>
      </c>
      <c r="L898" s="5">
        <f>INDEX(products!$A$1:$G$49, MATCH(orders!$D898,products!$A$1:$A$49,0), MATCH(L$1,products!$A$1:$G$1,0))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 = 0, "", _xlfn.XLOOKUP(C899,customers!$A$1:$A$1001,customers!$C$1:$C$1001,,0))</f>
        <v>rsticklerox@printfriendly.com</v>
      </c>
      <c r="H899" s="2" t="str">
        <f>_xlfn.XLOOKUP(C899,customers!$A$1:$A$1001,customers!$G$1:$G$1001,,0)</f>
        <v>United Kingdom</v>
      </c>
      <c r="I899" t="str">
        <f>INDEX(products!$A$1:$G$49, MATCH(orders!$D899,products!$A$1:$A$49,0), MATCH(I$1,products!$A$1:$G$1,0))</f>
        <v>Exc</v>
      </c>
      <c r="J899" t="str">
        <f>INDEX(products!$A$1:$G$49, MATCH(orders!$D899,products!$A$1:$A$49,0), MATCH(J$1,products!$A$1:$G$1,0))</f>
        <v>D</v>
      </c>
      <c r="K899" s="4">
        <f>INDEX(products!$A$1:$G$49, MATCH(orders!$D899,products!$A$1:$A$49,0), MATCH(K$1,products!$A$1:$G$1,0))</f>
        <v>1</v>
      </c>
      <c r="L899" s="5">
        <f>INDEX(products!$A$1:$G$49, MATCH(orders!$D899,products!$A$1:$A$49,0), MATCH(L$1,products!$A$1:$G$1,0))</f>
        <v>12.15</v>
      </c>
      <c r="M899" s="5">
        <f t="shared" ref="M899:M962" si="42">L899*E899</f>
        <v>24.3</v>
      </c>
      <c r="N899" t="str">
        <f t="shared" ref="N899:N962" si="43">IF(I899="Rob", "Robusta", IF(I899 = "Exc", "Excelsa", IF(I899 = "Ara", "Arabica", IF(I899 = "Lib", "Liberica", ""))))</f>
        <v>Excelsa</v>
      </c>
      <c r="O899" t="str">
        <f t="shared" ref="O899:O962" si="44">IF(J899 = "M", "Medium", IF(J899 = "L", "Light", IF( J899 = "D", "Dark", "")))</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 = 0, "", _xlfn.XLOOKUP(C900,customers!$A$1:$A$1001,customers!$C$1:$C$1001,,0))</f>
        <v/>
      </c>
      <c r="H900" s="2" t="str">
        <f>_xlfn.XLOOKUP(C900,customers!$A$1:$A$1001,customers!$G$1:$G$1001,,0)</f>
        <v>United States</v>
      </c>
      <c r="I900" t="str">
        <f>INDEX(products!$A$1:$G$49, MATCH(orders!$D900,products!$A$1:$A$49,0), MATCH(I$1,products!$A$1:$G$1,0))</f>
        <v>Rob</v>
      </c>
      <c r="J900" t="str">
        <f>INDEX(products!$A$1:$G$49, MATCH(orders!$D900,products!$A$1:$A$49,0), MATCH(J$1,products!$A$1:$G$1,0))</f>
        <v>L</v>
      </c>
      <c r="K900" s="4">
        <f>INDEX(products!$A$1:$G$49, MATCH(orders!$D900,products!$A$1:$A$49,0), MATCH(K$1,products!$A$1:$G$1,0))</f>
        <v>0.5</v>
      </c>
      <c r="L900" s="5">
        <f>INDEX(products!$A$1:$G$49, MATCH(orders!$D900,products!$A$1:$A$49,0), MATCH(L$1,products!$A$1:$G$1,0))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 = 0, "", _xlfn.XLOOKUP(C901,customers!$A$1:$A$1001,customers!$C$1:$C$1001,,0))</f>
        <v/>
      </c>
      <c r="H901" s="2" t="str">
        <f>_xlfn.XLOOKUP(C901,customers!$A$1:$A$1001,customers!$G$1:$G$1001,,0)</f>
        <v>United States</v>
      </c>
      <c r="I901" t="str">
        <f>INDEX(products!$A$1:$G$49, MATCH(orders!$D901,products!$A$1:$A$49,0), MATCH(I$1,products!$A$1:$G$1,0))</f>
        <v>Lib</v>
      </c>
      <c r="J901" t="str">
        <f>INDEX(products!$A$1:$G$49, MATCH(orders!$D901,products!$A$1:$A$49,0), MATCH(J$1,products!$A$1:$G$1,0))</f>
        <v>M</v>
      </c>
      <c r="K901" s="4">
        <f>INDEX(products!$A$1:$G$49, MATCH(orders!$D901,products!$A$1:$A$49,0), MATCH(K$1,products!$A$1:$G$1,0))</f>
        <v>1</v>
      </c>
      <c r="L901" s="5">
        <f>INDEX(products!$A$1:$G$49, MATCH(orders!$D901,products!$A$1:$A$49,0), MATCH(L$1,products!$A$1:$G$1,0))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 = 0, "", _xlfn.XLOOKUP(C902,customers!$A$1:$A$1001,customers!$C$1:$C$1001,,0))</f>
        <v/>
      </c>
      <c r="H902" s="2" t="str">
        <f>_xlfn.XLOOKUP(C902,customers!$A$1:$A$1001,customers!$G$1:$G$1001,,0)</f>
        <v>Ireland</v>
      </c>
      <c r="I902" t="str">
        <f>INDEX(products!$A$1:$G$49, MATCH(orders!$D902,products!$A$1:$A$49,0), MATCH(I$1,products!$A$1:$G$1,0))</f>
        <v>Lib</v>
      </c>
      <c r="J902" t="str">
        <f>INDEX(products!$A$1:$G$49, MATCH(orders!$D902,products!$A$1:$A$49,0), MATCH(J$1,products!$A$1:$G$1,0))</f>
        <v>L</v>
      </c>
      <c r="K902" s="4">
        <f>INDEX(products!$A$1:$G$49, MATCH(orders!$D902,products!$A$1:$A$49,0), MATCH(K$1,products!$A$1:$G$1,0))</f>
        <v>1</v>
      </c>
      <c r="L902" s="5">
        <f>INDEX(products!$A$1:$G$49, MATCH(orders!$D902,products!$A$1:$A$49,0), MATCH(L$1,products!$A$1:$G$1,0))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 = 0, "", _xlfn.XLOOKUP(C903,customers!$A$1:$A$1001,customers!$C$1:$C$1001,,0))</f>
        <v>djevonp1@ibm.com</v>
      </c>
      <c r="H903" s="2" t="str">
        <f>_xlfn.XLOOKUP(C903,customers!$A$1:$A$1001,customers!$G$1:$G$1001,,0)</f>
        <v>United States</v>
      </c>
      <c r="I903" t="str">
        <f>INDEX(products!$A$1:$G$49, MATCH(orders!$D903,products!$A$1:$A$49,0), MATCH(I$1,products!$A$1:$G$1,0))</f>
        <v>Rob</v>
      </c>
      <c r="J903" t="str">
        <f>INDEX(products!$A$1:$G$49, MATCH(orders!$D903,products!$A$1:$A$49,0), MATCH(J$1,products!$A$1:$G$1,0))</f>
        <v>L</v>
      </c>
      <c r="K903" s="4">
        <f>INDEX(products!$A$1:$G$49, MATCH(orders!$D903,products!$A$1:$A$49,0), MATCH(K$1,products!$A$1:$G$1,0))</f>
        <v>0.2</v>
      </c>
      <c r="L903" s="5">
        <f>INDEX(products!$A$1:$G$49, MATCH(orders!$D903,products!$A$1:$A$49,0), MATCH(L$1,products!$A$1:$G$1,0))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 = 0, "", _xlfn.XLOOKUP(C904,customers!$A$1:$A$1001,customers!$C$1:$C$1001,,0))</f>
        <v>hrannerp2@omniture.com</v>
      </c>
      <c r="H904" s="2" t="str">
        <f>_xlfn.XLOOKUP(C904,customers!$A$1:$A$1001,customers!$G$1:$G$1001,,0)</f>
        <v>United States</v>
      </c>
      <c r="I904" t="str">
        <f>INDEX(products!$A$1:$G$49, MATCH(orders!$D904,products!$A$1:$A$49,0), MATCH(I$1,products!$A$1:$G$1,0))</f>
        <v>Exc</v>
      </c>
      <c r="J904" t="str">
        <f>INDEX(products!$A$1:$G$49, MATCH(orders!$D904,products!$A$1:$A$49,0), MATCH(J$1,products!$A$1:$G$1,0))</f>
        <v>M</v>
      </c>
      <c r="K904" s="4">
        <f>INDEX(products!$A$1:$G$49, MATCH(orders!$D904,products!$A$1:$A$49,0), MATCH(K$1,products!$A$1:$G$1,0))</f>
        <v>2.5</v>
      </c>
      <c r="L904" s="5">
        <f>INDEX(products!$A$1:$G$49, MATCH(orders!$D904,products!$A$1:$A$49,0), MATCH(L$1,products!$A$1:$G$1,0))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 = 0, "", _xlfn.XLOOKUP(C905,customers!$A$1:$A$1001,customers!$C$1:$C$1001,,0))</f>
        <v>bimriep3@addtoany.com</v>
      </c>
      <c r="H905" s="2" t="str">
        <f>_xlfn.XLOOKUP(C905,customers!$A$1:$A$1001,customers!$G$1:$G$1001,,0)</f>
        <v>United States</v>
      </c>
      <c r="I905" t="str">
        <f>INDEX(products!$A$1:$G$49, MATCH(orders!$D905,products!$A$1:$A$49,0), MATCH(I$1,products!$A$1:$G$1,0))</f>
        <v>Lib</v>
      </c>
      <c r="J905" t="str">
        <f>INDEX(products!$A$1:$G$49, MATCH(orders!$D905,products!$A$1:$A$49,0), MATCH(J$1,products!$A$1:$G$1,0))</f>
        <v>M</v>
      </c>
      <c r="K905" s="4">
        <f>INDEX(products!$A$1:$G$49, MATCH(orders!$D905,products!$A$1:$A$49,0), MATCH(K$1,products!$A$1:$G$1,0))</f>
        <v>0.5</v>
      </c>
      <c r="L905" s="5">
        <f>INDEX(products!$A$1:$G$49, MATCH(orders!$D905,products!$A$1:$A$49,0), MATCH(L$1,products!$A$1:$G$1,0))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 = 0, "", _xlfn.XLOOKUP(C906,customers!$A$1:$A$1001,customers!$C$1:$C$1001,,0))</f>
        <v>dsopperp4@eventbrite.com</v>
      </c>
      <c r="H906" s="2" t="str">
        <f>_xlfn.XLOOKUP(C906,customers!$A$1:$A$1001,customers!$G$1:$G$1001,,0)</f>
        <v>United States</v>
      </c>
      <c r="I906" t="str">
        <f>INDEX(products!$A$1:$G$49, MATCH(orders!$D906,products!$A$1:$A$49,0), MATCH(I$1,products!$A$1:$G$1,0))</f>
        <v>Ara</v>
      </c>
      <c r="J906" t="str">
        <f>INDEX(products!$A$1:$G$49, MATCH(orders!$D906,products!$A$1:$A$49,0), MATCH(J$1,products!$A$1:$G$1,0))</f>
        <v>L</v>
      </c>
      <c r="K906" s="4">
        <f>INDEX(products!$A$1:$G$49, MATCH(orders!$D906,products!$A$1:$A$49,0), MATCH(K$1,products!$A$1:$G$1,0))</f>
        <v>2.5</v>
      </c>
      <c r="L906" s="5">
        <f>INDEX(products!$A$1:$G$49, MATCH(orders!$D906,products!$A$1:$A$49,0), MATCH(L$1,products!$A$1:$G$1,0))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 = 0, "", _xlfn.XLOOKUP(C907,customers!$A$1:$A$1001,customers!$C$1:$C$1001,,0))</f>
        <v/>
      </c>
      <c r="H907" s="2" t="str">
        <f>_xlfn.XLOOKUP(C907,customers!$A$1:$A$1001,customers!$G$1:$G$1001,,0)</f>
        <v>United States</v>
      </c>
      <c r="I907" t="str">
        <f>INDEX(products!$A$1:$G$49, MATCH(orders!$D907,products!$A$1:$A$49,0), MATCH(I$1,products!$A$1:$G$1,0))</f>
        <v>Ara</v>
      </c>
      <c r="J907" t="str">
        <f>INDEX(products!$A$1:$G$49, MATCH(orders!$D907,products!$A$1:$A$49,0), MATCH(J$1,products!$A$1:$G$1,0))</f>
        <v>M</v>
      </c>
      <c r="K907" s="4">
        <f>INDEX(products!$A$1:$G$49, MATCH(orders!$D907,products!$A$1:$A$49,0), MATCH(K$1,products!$A$1:$G$1,0))</f>
        <v>0.5</v>
      </c>
      <c r="L907" s="5">
        <f>INDEX(products!$A$1:$G$49, MATCH(orders!$D907,products!$A$1:$A$49,0), MATCH(L$1,products!$A$1:$G$1,0))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 = 0, "", _xlfn.XLOOKUP(C908,customers!$A$1:$A$1001,customers!$C$1:$C$1001,,0))</f>
        <v>lledgleyp6@de.vu</v>
      </c>
      <c r="H908" s="2" t="str">
        <f>_xlfn.XLOOKUP(C908,customers!$A$1:$A$1001,customers!$G$1:$G$1001,,0)</f>
        <v>United States</v>
      </c>
      <c r="I908" t="str">
        <f>INDEX(products!$A$1:$G$49, MATCH(orders!$D908,products!$A$1:$A$49,0), MATCH(I$1,products!$A$1:$G$1,0))</f>
        <v>Ara</v>
      </c>
      <c r="J908" t="str">
        <f>INDEX(products!$A$1:$G$49, MATCH(orders!$D908,products!$A$1:$A$49,0), MATCH(J$1,products!$A$1:$G$1,0))</f>
        <v>M</v>
      </c>
      <c r="K908" s="4">
        <f>INDEX(products!$A$1:$G$49, MATCH(orders!$D908,products!$A$1:$A$49,0), MATCH(K$1,products!$A$1:$G$1,0))</f>
        <v>0.5</v>
      </c>
      <c r="L908" s="5">
        <f>INDEX(products!$A$1:$G$49, MATCH(orders!$D908,products!$A$1:$A$49,0), MATCH(L$1,products!$A$1:$G$1,0))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 = 0, "", _xlfn.XLOOKUP(C909,customers!$A$1:$A$1001,customers!$C$1:$C$1001,,0))</f>
        <v>tmenaryp7@phoca.cz</v>
      </c>
      <c r="H909" s="2" t="str">
        <f>_xlfn.XLOOKUP(C909,customers!$A$1:$A$1001,customers!$G$1:$G$1001,,0)</f>
        <v>United States</v>
      </c>
      <c r="I909" t="str">
        <f>INDEX(products!$A$1:$G$49, MATCH(orders!$D909,products!$A$1:$A$49,0), MATCH(I$1,products!$A$1:$G$1,0))</f>
        <v>Lib</v>
      </c>
      <c r="J909" t="str">
        <f>INDEX(products!$A$1:$G$49, MATCH(orders!$D909,products!$A$1:$A$49,0), MATCH(J$1,products!$A$1:$G$1,0))</f>
        <v>D</v>
      </c>
      <c r="K909" s="4">
        <f>INDEX(products!$A$1:$G$49, MATCH(orders!$D909,products!$A$1:$A$49,0), MATCH(K$1,products!$A$1:$G$1,0))</f>
        <v>1</v>
      </c>
      <c r="L909" s="5">
        <f>INDEX(products!$A$1:$G$49, MATCH(orders!$D909,products!$A$1:$A$49,0), MATCH(L$1,products!$A$1:$G$1,0))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 = 0, "", _xlfn.XLOOKUP(C910,customers!$A$1:$A$1001,customers!$C$1:$C$1001,,0))</f>
        <v>gciccottip8@so-net.ne.jp</v>
      </c>
      <c r="H910" s="2" t="str">
        <f>_xlfn.XLOOKUP(C910,customers!$A$1:$A$1001,customers!$G$1:$G$1001,,0)</f>
        <v>United States</v>
      </c>
      <c r="I910" t="str">
        <f>INDEX(products!$A$1:$G$49, MATCH(orders!$D910,products!$A$1:$A$49,0), MATCH(I$1,products!$A$1:$G$1,0))</f>
        <v>Rob</v>
      </c>
      <c r="J910" t="str">
        <f>INDEX(products!$A$1:$G$49, MATCH(orders!$D910,products!$A$1:$A$49,0), MATCH(J$1,products!$A$1:$G$1,0))</f>
        <v>L</v>
      </c>
      <c r="K910" s="4">
        <f>INDEX(products!$A$1:$G$49, MATCH(orders!$D910,products!$A$1:$A$49,0), MATCH(K$1,products!$A$1:$G$1,0))</f>
        <v>1</v>
      </c>
      <c r="L910" s="5">
        <f>INDEX(products!$A$1:$G$49, MATCH(orders!$D910,products!$A$1:$A$49,0), MATCH(L$1,products!$A$1:$G$1,0))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 = 0, "", _xlfn.XLOOKUP(C911,customers!$A$1:$A$1001,customers!$C$1:$C$1001,,0))</f>
        <v/>
      </c>
      <c r="H911" s="2" t="str">
        <f>_xlfn.XLOOKUP(C911,customers!$A$1:$A$1001,customers!$G$1:$G$1001,,0)</f>
        <v>United States</v>
      </c>
      <c r="I911" t="str">
        <f>INDEX(products!$A$1:$G$49, MATCH(orders!$D911,products!$A$1:$A$49,0), MATCH(I$1,products!$A$1:$G$1,0))</f>
        <v>Rob</v>
      </c>
      <c r="J911" t="str">
        <f>INDEX(products!$A$1:$G$49, MATCH(orders!$D911,products!$A$1:$A$49,0), MATCH(J$1,products!$A$1:$G$1,0))</f>
        <v>L</v>
      </c>
      <c r="K911" s="4">
        <f>INDEX(products!$A$1:$G$49, MATCH(orders!$D911,products!$A$1:$A$49,0), MATCH(K$1,products!$A$1:$G$1,0))</f>
        <v>0.2</v>
      </c>
      <c r="L911" s="5">
        <f>INDEX(products!$A$1:$G$49, MATCH(orders!$D911,products!$A$1:$A$49,0), MATCH(L$1,products!$A$1:$G$1,0))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 = 0, "", _xlfn.XLOOKUP(C912,customers!$A$1:$A$1001,customers!$C$1:$C$1001,,0))</f>
        <v>wjallinpa@pcworld.com</v>
      </c>
      <c r="H912" s="2" t="str">
        <f>_xlfn.XLOOKUP(C912,customers!$A$1:$A$1001,customers!$G$1:$G$1001,,0)</f>
        <v>United States</v>
      </c>
      <c r="I912" t="str">
        <f>INDEX(products!$A$1:$G$49, MATCH(orders!$D912,products!$A$1:$A$49,0), MATCH(I$1,products!$A$1:$G$1,0))</f>
        <v>Ara</v>
      </c>
      <c r="J912" t="str">
        <f>INDEX(products!$A$1:$G$49, MATCH(orders!$D912,products!$A$1:$A$49,0), MATCH(J$1,products!$A$1:$G$1,0))</f>
        <v>D</v>
      </c>
      <c r="K912" s="4">
        <f>INDEX(products!$A$1:$G$49, MATCH(orders!$D912,products!$A$1:$A$49,0), MATCH(K$1,products!$A$1:$G$1,0))</f>
        <v>2.5</v>
      </c>
      <c r="L912" s="5">
        <f>INDEX(products!$A$1:$G$49, MATCH(orders!$D912,products!$A$1:$A$49,0), MATCH(L$1,products!$A$1:$G$1,0))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 = 0, "", _xlfn.XLOOKUP(C913,customers!$A$1:$A$1001,customers!$C$1:$C$1001,,0))</f>
        <v>mbogeypb@thetimes.co.uk</v>
      </c>
      <c r="H913" s="2" t="str">
        <f>_xlfn.XLOOKUP(C913,customers!$A$1:$A$1001,customers!$G$1:$G$1001,,0)</f>
        <v>United States</v>
      </c>
      <c r="I913" t="str">
        <f>INDEX(products!$A$1:$G$49, MATCH(orders!$D913,products!$A$1:$A$49,0), MATCH(I$1,products!$A$1:$G$1,0))</f>
        <v>Ara</v>
      </c>
      <c r="J913" t="str">
        <f>INDEX(products!$A$1:$G$49, MATCH(orders!$D913,products!$A$1:$A$49,0), MATCH(J$1,products!$A$1:$G$1,0))</f>
        <v>M</v>
      </c>
      <c r="K913" s="4">
        <f>INDEX(products!$A$1:$G$49, MATCH(orders!$D913,products!$A$1:$A$49,0), MATCH(K$1,products!$A$1:$G$1,0))</f>
        <v>1</v>
      </c>
      <c r="L913" s="5">
        <f>INDEX(products!$A$1:$G$49, MATCH(orders!$D913,products!$A$1:$A$49,0), MATCH(L$1,products!$A$1:$G$1,0))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 = 0, "", _xlfn.XLOOKUP(C914,customers!$A$1:$A$1001,customers!$C$1:$C$1001,,0))</f>
        <v/>
      </c>
      <c r="H914" s="2" t="str">
        <f>_xlfn.XLOOKUP(C914,customers!$A$1:$A$1001,customers!$G$1:$G$1001,,0)</f>
        <v>United States</v>
      </c>
      <c r="I914" t="str">
        <f>INDEX(products!$A$1:$G$49, MATCH(orders!$D914,products!$A$1:$A$49,0), MATCH(I$1,products!$A$1:$G$1,0))</f>
        <v>Rob</v>
      </c>
      <c r="J914" t="str">
        <f>INDEX(products!$A$1:$G$49, MATCH(orders!$D914,products!$A$1:$A$49,0), MATCH(J$1,products!$A$1:$G$1,0))</f>
        <v>M</v>
      </c>
      <c r="K914" s="4">
        <f>INDEX(products!$A$1:$G$49, MATCH(orders!$D914,products!$A$1:$A$49,0), MATCH(K$1,products!$A$1:$G$1,0))</f>
        <v>2.5</v>
      </c>
      <c r="L914" s="5">
        <f>INDEX(products!$A$1:$G$49, MATCH(orders!$D914,products!$A$1:$A$49,0), MATCH(L$1,products!$A$1:$G$1,0))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 = 0, "", _xlfn.XLOOKUP(C915,customers!$A$1:$A$1001,customers!$C$1:$C$1001,,0))</f>
        <v>mcobbledickpd@ucsd.edu</v>
      </c>
      <c r="H915" s="2" t="str">
        <f>_xlfn.XLOOKUP(C915,customers!$A$1:$A$1001,customers!$G$1:$G$1001,,0)</f>
        <v>United States</v>
      </c>
      <c r="I915" t="str">
        <f>INDEX(products!$A$1:$G$49, MATCH(orders!$D915,products!$A$1:$A$49,0), MATCH(I$1,products!$A$1:$G$1,0))</f>
        <v>Ara</v>
      </c>
      <c r="J915" t="str">
        <f>INDEX(products!$A$1:$G$49, MATCH(orders!$D915,products!$A$1:$A$49,0), MATCH(J$1,products!$A$1:$G$1,0))</f>
        <v>M</v>
      </c>
      <c r="K915" s="4">
        <f>INDEX(products!$A$1:$G$49, MATCH(orders!$D915,products!$A$1:$A$49,0), MATCH(K$1,products!$A$1:$G$1,0))</f>
        <v>0.5</v>
      </c>
      <c r="L915" s="5">
        <f>INDEX(products!$A$1:$G$49, MATCH(orders!$D915,products!$A$1:$A$49,0), MATCH(L$1,products!$A$1:$G$1,0))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 = 0, "", _xlfn.XLOOKUP(C916,customers!$A$1:$A$1001,customers!$C$1:$C$1001,,0))</f>
        <v>alewrype@whitehouse.gov</v>
      </c>
      <c r="H916" s="2" t="str">
        <f>_xlfn.XLOOKUP(C916,customers!$A$1:$A$1001,customers!$G$1:$G$1001,,0)</f>
        <v>United States</v>
      </c>
      <c r="I916" t="str">
        <f>INDEX(products!$A$1:$G$49, MATCH(orders!$D916,products!$A$1:$A$49,0), MATCH(I$1,products!$A$1:$G$1,0))</f>
        <v>Ara</v>
      </c>
      <c r="J916" t="str">
        <f>INDEX(products!$A$1:$G$49, MATCH(orders!$D916,products!$A$1:$A$49,0), MATCH(J$1,products!$A$1:$G$1,0))</f>
        <v>M</v>
      </c>
      <c r="K916" s="4">
        <f>INDEX(products!$A$1:$G$49, MATCH(orders!$D916,products!$A$1:$A$49,0), MATCH(K$1,products!$A$1:$G$1,0))</f>
        <v>1</v>
      </c>
      <c r="L916" s="5">
        <f>INDEX(products!$A$1:$G$49, MATCH(orders!$D916,products!$A$1:$A$49,0), MATCH(L$1,products!$A$1:$G$1,0))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 = 0, "", _xlfn.XLOOKUP(C917,customers!$A$1:$A$1001,customers!$C$1:$C$1001,,0))</f>
        <v>ihesselpf@ox.ac.uk</v>
      </c>
      <c r="H917" s="2" t="str">
        <f>_xlfn.XLOOKUP(C917,customers!$A$1:$A$1001,customers!$G$1:$G$1001,,0)</f>
        <v>United States</v>
      </c>
      <c r="I917" t="str">
        <f>INDEX(products!$A$1:$G$49, MATCH(orders!$D917,products!$A$1:$A$49,0), MATCH(I$1,products!$A$1:$G$1,0))</f>
        <v>Exc</v>
      </c>
      <c r="J917" t="str">
        <f>INDEX(products!$A$1:$G$49, MATCH(orders!$D917,products!$A$1:$A$49,0), MATCH(J$1,products!$A$1:$G$1,0))</f>
        <v>D</v>
      </c>
      <c r="K917" s="4">
        <f>INDEX(products!$A$1:$G$49, MATCH(orders!$D917,products!$A$1:$A$49,0), MATCH(K$1,products!$A$1:$G$1,0))</f>
        <v>2.5</v>
      </c>
      <c r="L917" s="5">
        <f>INDEX(products!$A$1:$G$49, MATCH(orders!$D917,products!$A$1:$A$49,0), MATCH(L$1,products!$A$1:$G$1,0))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 = 0, "", _xlfn.XLOOKUP(C918,customers!$A$1:$A$1001,customers!$C$1:$C$1001,,0))</f>
        <v/>
      </c>
      <c r="H918" s="2" t="str">
        <f>_xlfn.XLOOKUP(C918,customers!$A$1:$A$1001,customers!$G$1:$G$1001,,0)</f>
        <v>Ireland</v>
      </c>
      <c r="I918" t="str">
        <f>INDEX(products!$A$1:$G$49, MATCH(orders!$D918,products!$A$1:$A$49,0), MATCH(I$1,products!$A$1:$G$1,0))</f>
        <v>Exc</v>
      </c>
      <c r="J918" t="str">
        <f>INDEX(products!$A$1:$G$49, MATCH(orders!$D918,products!$A$1:$A$49,0), MATCH(J$1,products!$A$1:$G$1,0))</f>
        <v>D</v>
      </c>
      <c r="K918" s="4">
        <f>INDEX(products!$A$1:$G$49, MATCH(orders!$D918,products!$A$1:$A$49,0), MATCH(K$1,products!$A$1:$G$1,0))</f>
        <v>0.2</v>
      </c>
      <c r="L918" s="5">
        <f>INDEX(products!$A$1:$G$49, MATCH(orders!$D918,products!$A$1:$A$49,0), MATCH(L$1,products!$A$1:$G$1,0))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 = 0, "", _xlfn.XLOOKUP(C919,customers!$A$1:$A$1001,customers!$C$1:$C$1001,,0))</f>
        <v>csorrellph@amazon.com</v>
      </c>
      <c r="H919" s="2" t="str">
        <f>_xlfn.XLOOKUP(C919,customers!$A$1:$A$1001,customers!$G$1:$G$1001,,0)</f>
        <v>United Kingdom</v>
      </c>
      <c r="I919" t="str">
        <f>INDEX(products!$A$1:$G$49, MATCH(orders!$D919,products!$A$1:$A$49,0), MATCH(I$1,products!$A$1:$G$1,0))</f>
        <v>Ara</v>
      </c>
      <c r="J919" t="str">
        <f>INDEX(products!$A$1:$G$49, MATCH(orders!$D919,products!$A$1:$A$49,0), MATCH(J$1,products!$A$1:$G$1,0))</f>
        <v>M</v>
      </c>
      <c r="K919" s="4">
        <f>INDEX(products!$A$1:$G$49, MATCH(orders!$D919,products!$A$1:$A$49,0), MATCH(K$1,products!$A$1:$G$1,0))</f>
        <v>0.5</v>
      </c>
      <c r="L919" s="5">
        <f>INDEX(products!$A$1:$G$49, MATCH(orders!$D919,products!$A$1:$A$49,0), MATCH(L$1,products!$A$1:$G$1,0))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 = 0, "", _xlfn.XLOOKUP(C920,customers!$A$1:$A$1001,customers!$C$1:$C$1001,,0))</f>
        <v>csorrellph@amazon.com</v>
      </c>
      <c r="H920" s="2" t="str">
        <f>_xlfn.XLOOKUP(C920,customers!$A$1:$A$1001,customers!$G$1:$G$1001,,0)</f>
        <v>United Kingdom</v>
      </c>
      <c r="I920" t="str">
        <f>INDEX(products!$A$1:$G$49, MATCH(orders!$D920,products!$A$1:$A$49,0), MATCH(I$1,products!$A$1:$G$1,0))</f>
        <v>Exc</v>
      </c>
      <c r="J920" t="str">
        <f>INDEX(products!$A$1:$G$49, MATCH(orders!$D920,products!$A$1:$A$49,0), MATCH(J$1,products!$A$1:$G$1,0))</f>
        <v>D</v>
      </c>
      <c r="K920" s="4">
        <f>INDEX(products!$A$1:$G$49, MATCH(orders!$D920,products!$A$1:$A$49,0), MATCH(K$1,products!$A$1:$G$1,0))</f>
        <v>0.5</v>
      </c>
      <c r="L920" s="5">
        <f>INDEX(products!$A$1:$G$49, MATCH(orders!$D920,products!$A$1:$A$49,0), MATCH(L$1,products!$A$1:$G$1,0))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 = 0, "", _xlfn.XLOOKUP(C921,customers!$A$1:$A$1001,customers!$C$1:$C$1001,,0))</f>
        <v>qheavysidepj@unc.edu</v>
      </c>
      <c r="H921" s="2" t="str">
        <f>_xlfn.XLOOKUP(C921,customers!$A$1:$A$1001,customers!$G$1:$G$1001,,0)</f>
        <v>United States</v>
      </c>
      <c r="I921" t="str">
        <f>INDEX(products!$A$1:$G$49, MATCH(orders!$D921,products!$A$1:$A$49,0), MATCH(I$1,products!$A$1:$G$1,0))</f>
        <v>Rob</v>
      </c>
      <c r="J921" t="str">
        <f>INDEX(products!$A$1:$G$49, MATCH(orders!$D921,products!$A$1:$A$49,0), MATCH(J$1,products!$A$1:$G$1,0))</f>
        <v>D</v>
      </c>
      <c r="K921" s="4">
        <f>INDEX(products!$A$1:$G$49, MATCH(orders!$D921,products!$A$1:$A$49,0), MATCH(K$1,products!$A$1:$G$1,0))</f>
        <v>0.2</v>
      </c>
      <c r="L921" s="5">
        <f>INDEX(products!$A$1:$G$49, MATCH(orders!$D921,products!$A$1:$A$49,0), MATCH(L$1,products!$A$1:$G$1,0))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 = 0, "", _xlfn.XLOOKUP(C922,customers!$A$1:$A$1001,customers!$C$1:$C$1001,,0))</f>
        <v>hreuvenpk@whitehouse.gov</v>
      </c>
      <c r="H922" s="2" t="str">
        <f>_xlfn.XLOOKUP(C922,customers!$A$1:$A$1001,customers!$G$1:$G$1001,,0)</f>
        <v>United States</v>
      </c>
      <c r="I922" t="str">
        <f>INDEX(products!$A$1:$G$49, MATCH(orders!$D922,products!$A$1:$A$49,0), MATCH(I$1,products!$A$1:$G$1,0))</f>
        <v>Rob</v>
      </c>
      <c r="J922" t="str">
        <f>INDEX(products!$A$1:$G$49, MATCH(orders!$D922,products!$A$1:$A$49,0), MATCH(J$1,products!$A$1:$G$1,0))</f>
        <v>D</v>
      </c>
      <c r="K922" s="4">
        <f>INDEX(products!$A$1:$G$49, MATCH(orders!$D922,products!$A$1:$A$49,0), MATCH(K$1,products!$A$1:$G$1,0))</f>
        <v>2.5</v>
      </c>
      <c r="L922" s="5">
        <f>INDEX(products!$A$1:$G$49, MATCH(orders!$D922,products!$A$1:$A$49,0), MATCH(L$1,products!$A$1:$G$1,0))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 = 0, "", _xlfn.XLOOKUP(C923,customers!$A$1:$A$1001,customers!$C$1:$C$1001,,0))</f>
        <v>mattwoolpl@nba.com</v>
      </c>
      <c r="H923" s="2" t="str">
        <f>_xlfn.XLOOKUP(C923,customers!$A$1:$A$1001,customers!$G$1:$G$1001,,0)</f>
        <v>United States</v>
      </c>
      <c r="I923" t="str">
        <f>INDEX(products!$A$1:$G$49, MATCH(orders!$D923,products!$A$1:$A$49,0), MATCH(I$1,products!$A$1:$G$1,0))</f>
        <v>Lib</v>
      </c>
      <c r="J923" t="str">
        <f>INDEX(products!$A$1:$G$49, MATCH(orders!$D923,products!$A$1:$A$49,0), MATCH(J$1,products!$A$1:$G$1,0))</f>
        <v>D</v>
      </c>
      <c r="K923" s="4">
        <f>INDEX(products!$A$1:$G$49, MATCH(orders!$D923,products!$A$1:$A$49,0), MATCH(K$1,products!$A$1:$G$1,0))</f>
        <v>0.2</v>
      </c>
      <c r="L923" s="5">
        <f>INDEX(products!$A$1:$G$49, MATCH(orders!$D923,products!$A$1:$A$49,0), MATCH(L$1,products!$A$1:$G$1,0))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 = 0, "", _xlfn.XLOOKUP(C924,customers!$A$1:$A$1001,customers!$C$1:$C$1001,,0))</f>
        <v/>
      </c>
      <c r="H924" s="2" t="str">
        <f>_xlfn.XLOOKUP(C924,customers!$A$1:$A$1001,customers!$G$1:$G$1001,,0)</f>
        <v>United States</v>
      </c>
      <c r="I924" t="str">
        <f>INDEX(products!$A$1:$G$49, MATCH(orders!$D924,products!$A$1:$A$49,0), MATCH(I$1,products!$A$1:$G$1,0))</f>
        <v>Ara</v>
      </c>
      <c r="J924" t="str">
        <f>INDEX(products!$A$1:$G$49, MATCH(orders!$D924,products!$A$1:$A$49,0), MATCH(J$1,products!$A$1:$G$1,0))</f>
        <v>M</v>
      </c>
      <c r="K924" s="4">
        <f>INDEX(products!$A$1:$G$49, MATCH(orders!$D924,products!$A$1:$A$49,0), MATCH(K$1,products!$A$1:$G$1,0))</f>
        <v>1</v>
      </c>
      <c r="L924" s="5">
        <f>INDEX(products!$A$1:$G$49, MATCH(orders!$D924,products!$A$1:$A$49,0), MATCH(L$1,products!$A$1:$G$1,0))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 = 0, "", _xlfn.XLOOKUP(C925,customers!$A$1:$A$1001,customers!$C$1:$C$1001,,0))</f>
        <v>gwynespn@dagondesign.com</v>
      </c>
      <c r="H925" s="2" t="str">
        <f>_xlfn.XLOOKUP(C925,customers!$A$1:$A$1001,customers!$G$1:$G$1001,,0)</f>
        <v>United States</v>
      </c>
      <c r="I925" t="str">
        <f>INDEX(products!$A$1:$G$49, MATCH(orders!$D925,products!$A$1:$A$49,0), MATCH(I$1,products!$A$1:$G$1,0))</f>
        <v>Exc</v>
      </c>
      <c r="J925" t="str">
        <f>INDEX(products!$A$1:$G$49, MATCH(orders!$D925,products!$A$1:$A$49,0), MATCH(J$1,products!$A$1:$G$1,0))</f>
        <v>D</v>
      </c>
      <c r="K925" s="4">
        <f>INDEX(products!$A$1:$G$49, MATCH(orders!$D925,products!$A$1:$A$49,0), MATCH(K$1,products!$A$1:$G$1,0))</f>
        <v>2.5</v>
      </c>
      <c r="L925" s="5">
        <f>INDEX(products!$A$1:$G$49, MATCH(orders!$D925,products!$A$1:$A$49,0), MATCH(L$1,products!$A$1:$G$1,0))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 = 0, "", _xlfn.XLOOKUP(C926,customers!$A$1:$A$1001,customers!$C$1:$C$1001,,0))</f>
        <v>cmaccourtpo@amazon.com</v>
      </c>
      <c r="H926" s="2" t="str">
        <f>_xlfn.XLOOKUP(C926,customers!$A$1:$A$1001,customers!$G$1:$G$1001,,0)</f>
        <v>United States</v>
      </c>
      <c r="I926" t="str">
        <f>INDEX(products!$A$1:$G$49, MATCH(orders!$D926,products!$A$1:$A$49,0), MATCH(I$1,products!$A$1:$G$1,0))</f>
        <v>Ara</v>
      </c>
      <c r="J926" t="str">
        <f>INDEX(products!$A$1:$G$49, MATCH(orders!$D926,products!$A$1:$A$49,0), MATCH(J$1,products!$A$1:$G$1,0))</f>
        <v>L</v>
      </c>
      <c r="K926" s="4">
        <f>INDEX(products!$A$1:$G$49, MATCH(orders!$D926,products!$A$1:$A$49,0), MATCH(K$1,products!$A$1:$G$1,0))</f>
        <v>2.5</v>
      </c>
      <c r="L926" s="5">
        <f>INDEX(products!$A$1:$G$49, MATCH(orders!$D926,products!$A$1:$A$49,0), MATCH(L$1,products!$A$1:$G$1,0))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 = 0, "", _xlfn.XLOOKUP(C927,customers!$A$1:$A$1001,customers!$C$1:$C$1001,,0))</f>
        <v/>
      </c>
      <c r="H927" s="2" t="str">
        <f>_xlfn.XLOOKUP(C927,customers!$A$1:$A$1001,customers!$G$1:$G$1001,,0)</f>
        <v>United States</v>
      </c>
      <c r="I927" t="str">
        <f>INDEX(products!$A$1:$G$49, MATCH(orders!$D927,products!$A$1:$A$49,0), MATCH(I$1,products!$A$1:$G$1,0))</f>
        <v>Ara</v>
      </c>
      <c r="J927" t="str">
        <f>INDEX(products!$A$1:$G$49, MATCH(orders!$D927,products!$A$1:$A$49,0), MATCH(J$1,products!$A$1:$G$1,0))</f>
        <v>M</v>
      </c>
      <c r="K927" s="4">
        <f>INDEX(products!$A$1:$G$49, MATCH(orders!$D927,products!$A$1:$A$49,0), MATCH(K$1,products!$A$1:$G$1,0))</f>
        <v>0.5</v>
      </c>
      <c r="L927" s="5">
        <f>INDEX(products!$A$1:$G$49, MATCH(orders!$D927,products!$A$1:$A$49,0), MATCH(L$1,products!$A$1:$G$1,0))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 = 0, "", _xlfn.XLOOKUP(C928,customers!$A$1:$A$1001,customers!$C$1:$C$1001,,0))</f>
        <v>ewilsonepq@eepurl.com</v>
      </c>
      <c r="H928" s="2" t="str">
        <f>_xlfn.XLOOKUP(C928,customers!$A$1:$A$1001,customers!$G$1:$G$1001,,0)</f>
        <v>United States</v>
      </c>
      <c r="I928" t="str">
        <f>INDEX(products!$A$1:$G$49, MATCH(orders!$D928,products!$A$1:$A$49,0), MATCH(I$1,products!$A$1:$G$1,0))</f>
        <v>Ara</v>
      </c>
      <c r="J928" t="str">
        <f>INDEX(products!$A$1:$G$49, MATCH(orders!$D928,products!$A$1:$A$49,0), MATCH(J$1,products!$A$1:$G$1,0))</f>
        <v>M</v>
      </c>
      <c r="K928" s="4">
        <f>INDEX(products!$A$1:$G$49, MATCH(orders!$D928,products!$A$1:$A$49,0), MATCH(K$1,products!$A$1:$G$1,0))</f>
        <v>0.5</v>
      </c>
      <c r="L928" s="5">
        <f>INDEX(products!$A$1:$G$49, MATCH(orders!$D928,products!$A$1:$A$49,0), MATCH(L$1,products!$A$1:$G$1,0))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 = 0, "", _xlfn.XLOOKUP(C929,customers!$A$1:$A$1001,customers!$C$1:$C$1001,,0))</f>
        <v>dduffiepr@time.com</v>
      </c>
      <c r="H929" s="2" t="str">
        <f>_xlfn.XLOOKUP(C929,customers!$A$1:$A$1001,customers!$G$1:$G$1001,,0)</f>
        <v>United States</v>
      </c>
      <c r="I929" t="str">
        <f>INDEX(products!$A$1:$G$49, MATCH(orders!$D929,products!$A$1:$A$49,0), MATCH(I$1,products!$A$1:$G$1,0))</f>
        <v>Exc</v>
      </c>
      <c r="J929" t="str">
        <f>INDEX(products!$A$1:$G$49, MATCH(orders!$D929,products!$A$1:$A$49,0), MATCH(J$1,products!$A$1:$G$1,0))</f>
        <v>D</v>
      </c>
      <c r="K929" s="4">
        <f>INDEX(products!$A$1:$G$49, MATCH(orders!$D929,products!$A$1:$A$49,0), MATCH(K$1,products!$A$1:$G$1,0))</f>
        <v>2.5</v>
      </c>
      <c r="L929" s="5">
        <f>INDEX(products!$A$1:$G$49, MATCH(orders!$D929,products!$A$1:$A$49,0), MATCH(L$1,products!$A$1:$G$1,0))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 = 0, "", _xlfn.XLOOKUP(C930,customers!$A$1:$A$1001,customers!$C$1:$C$1001,,0))</f>
        <v>mmatiasekps@ucoz.ru</v>
      </c>
      <c r="H930" s="2" t="str">
        <f>_xlfn.XLOOKUP(C930,customers!$A$1:$A$1001,customers!$G$1:$G$1001,,0)</f>
        <v>United States</v>
      </c>
      <c r="I930" t="str">
        <f>INDEX(products!$A$1:$G$49, MATCH(orders!$D930,products!$A$1:$A$49,0), MATCH(I$1,products!$A$1:$G$1,0))</f>
        <v>Exc</v>
      </c>
      <c r="J930" t="str">
        <f>INDEX(products!$A$1:$G$49, MATCH(orders!$D930,products!$A$1:$A$49,0), MATCH(J$1,products!$A$1:$G$1,0))</f>
        <v>M</v>
      </c>
      <c r="K930" s="4">
        <f>INDEX(products!$A$1:$G$49, MATCH(orders!$D930,products!$A$1:$A$49,0), MATCH(K$1,products!$A$1:$G$1,0))</f>
        <v>2.5</v>
      </c>
      <c r="L930" s="5">
        <f>INDEX(products!$A$1:$G$49, MATCH(orders!$D930,products!$A$1:$A$49,0), MATCH(L$1,products!$A$1:$G$1,0))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 = 0, "", _xlfn.XLOOKUP(C931,customers!$A$1:$A$1001,customers!$C$1:$C$1001,,0))</f>
        <v>jcamillopt@shinystat.com</v>
      </c>
      <c r="H931" s="2" t="str">
        <f>_xlfn.XLOOKUP(C931,customers!$A$1:$A$1001,customers!$G$1:$G$1001,,0)</f>
        <v>United States</v>
      </c>
      <c r="I931" t="str">
        <f>INDEX(products!$A$1:$G$49, MATCH(orders!$D931,products!$A$1:$A$49,0), MATCH(I$1,products!$A$1:$G$1,0))</f>
        <v>Exc</v>
      </c>
      <c r="J931" t="str">
        <f>INDEX(products!$A$1:$G$49, MATCH(orders!$D931,products!$A$1:$A$49,0), MATCH(J$1,products!$A$1:$G$1,0))</f>
        <v>L</v>
      </c>
      <c r="K931" s="4">
        <f>INDEX(products!$A$1:$G$49, MATCH(orders!$D931,products!$A$1:$A$49,0), MATCH(K$1,products!$A$1:$G$1,0))</f>
        <v>0.2</v>
      </c>
      <c r="L931" s="5">
        <f>INDEX(products!$A$1:$G$49, MATCH(orders!$D931,products!$A$1:$A$49,0), MATCH(L$1,products!$A$1:$G$1,0))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 = 0, "", _xlfn.XLOOKUP(C932,customers!$A$1:$A$1001,customers!$C$1:$C$1001,,0))</f>
        <v>kphilbrickpu@cdc.gov</v>
      </c>
      <c r="H932" s="2" t="str">
        <f>_xlfn.XLOOKUP(C932,customers!$A$1:$A$1001,customers!$G$1:$G$1001,,0)</f>
        <v>United States</v>
      </c>
      <c r="I932" t="str">
        <f>INDEX(products!$A$1:$G$49, MATCH(orders!$D932,products!$A$1:$A$49,0), MATCH(I$1,products!$A$1:$G$1,0))</f>
        <v>Exc</v>
      </c>
      <c r="J932" t="str">
        <f>INDEX(products!$A$1:$G$49, MATCH(orders!$D932,products!$A$1:$A$49,0), MATCH(J$1,products!$A$1:$G$1,0))</f>
        <v>D</v>
      </c>
      <c r="K932" s="4">
        <f>INDEX(products!$A$1:$G$49, MATCH(orders!$D932,products!$A$1:$A$49,0), MATCH(K$1,products!$A$1:$G$1,0))</f>
        <v>1</v>
      </c>
      <c r="L932" s="5">
        <f>INDEX(products!$A$1:$G$49, MATCH(orders!$D932,products!$A$1:$A$49,0), MATCH(L$1,products!$A$1:$G$1,0))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 = 0, "", _xlfn.XLOOKUP(C933,customers!$A$1:$A$1001,customers!$C$1:$C$1001,,0))</f>
        <v/>
      </c>
      <c r="H933" s="2" t="str">
        <f>_xlfn.XLOOKUP(C933,customers!$A$1:$A$1001,customers!$G$1:$G$1001,,0)</f>
        <v>United States</v>
      </c>
      <c r="I933" t="str">
        <f>INDEX(products!$A$1:$G$49, MATCH(orders!$D933,products!$A$1:$A$49,0), MATCH(I$1,products!$A$1:$G$1,0))</f>
        <v>Ara</v>
      </c>
      <c r="J933" t="str">
        <f>INDEX(products!$A$1:$G$49, MATCH(orders!$D933,products!$A$1:$A$49,0), MATCH(J$1,products!$A$1:$G$1,0))</f>
        <v>D</v>
      </c>
      <c r="K933" s="4">
        <f>INDEX(products!$A$1:$G$49, MATCH(orders!$D933,products!$A$1:$A$49,0), MATCH(K$1,products!$A$1:$G$1,0))</f>
        <v>0.5</v>
      </c>
      <c r="L933" s="5">
        <f>INDEX(products!$A$1:$G$49, MATCH(orders!$D933,products!$A$1:$A$49,0), MATCH(L$1,products!$A$1:$G$1,0))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 = 0, "", _xlfn.XLOOKUP(C934,customers!$A$1:$A$1001,customers!$C$1:$C$1001,,0))</f>
        <v>bsillispw@istockphoto.com</v>
      </c>
      <c r="H934" s="2" t="str">
        <f>_xlfn.XLOOKUP(C934,customers!$A$1:$A$1001,customers!$G$1:$G$1001,,0)</f>
        <v>United States</v>
      </c>
      <c r="I934" t="str">
        <f>INDEX(products!$A$1:$G$49, MATCH(orders!$D934,products!$A$1:$A$49,0), MATCH(I$1,products!$A$1:$G$1,0))</f>
        <v>Exc</v>
      </c>
      <c r="J934" t="str">
        <f>INDEX(products!$A$1:$G$49, MATCH(orders!$D934,products!$A$1:$A$49,0), MATCH(J$1,products!$A$1:$G$1,0))</f>
        <v>M</v>
      </c>
      <c r="K934" s="4">
        <f>INDEX(products!$A$1:$G$49, MATCH(orders!$D934,products!$A$1:$A$49,0), MATCH(K$1,products!$A$1:$G$1,0))</f>
        <v>1</v>
      </c>
      <c r="L934" s="5">
        <f>INDEX(products!$A$1:$G$49, MATCH(orders!$D934,products!$A$1:$A$49,0), MATCH(L$1,products!$A$1:$G$1,0))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 = 0, "", _xlfn.XLOOKUP(C935,customers!$A$1:$A$1001,customers!$C$1:$C$1001,,0))</f>
        <v/>
      </c>
      <c r="H935" s="2" t="str">
        <f>_xlfn.XLOOKUP(C935,customers!$A$1:$A$1001,customers!$G$1:$G$1001,,0)</f>
        <v>United States</v>
      </c>
      <c r="I935" t="str">
        <f>INDEX(products!$A$1:$G$49, MATCH(orders!$D935,products!$A$1:$A$49,0), MATCH(I$1,products!$A$1:$G$1,0))</f>
        <v>Rob</v>
      </c>
      <c r="J935" t="str">
        <f>INDEX(products!$A$1:$G$49, MATCH(orders!$D935,products!$A$1:$A$49,0), MATCH(J$1,products!$A$1:$G$1,0))</f>
        <v>D</v>
      </c>
      <c r="K935" s="4">
        <f>INDEX(products!$A$1:$G$49, MATCH(orders!$D935,products!$A$1:$A$49,0), MATCH(K$1,products!$A$1:$G$1,0))</f>
        <v>1</v>
      </c>
      <c r="L935" s="5">
        <f>INDEX(products!$A$1:$G$49, MATCH(orders!$D935,products!$A$1:$A$49,0), MATCH(L$1,products!$A$1:$G$1,0))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 = 0, "", _xlfn.XLOOKUP(C936,customers!$A$1:$A$1001,customers!$C$1:$C$1001,,0))</f>
        <v>rcuttspy@techcrunch.com</v>
      </c>
      <c r="H936" s="2" t="str">
        <f>_xlfn.XLOOKUP(C936,customers!$A$1:$A$1001,customers!$G$1:$G$1001,,0)</f>
        <v>United States</v>
      </c>
      <c r="I936" t="str">
        <f>INDEX(products!$A$1:$G$49, MATCH(orders!$D936,products!$A$1:$A$49,0), MATCH(I$1,products!$A$1:$G$1,0))</f>
        <v>Rob</v>
      </c>
      <c r="J936" t="str">
        <f>INDEX(products!$A$1:$G$49, MATCH(orders!$D936,products!$A$1:$A$49,0), MATCH(J$1,products!$A$1:$G$1,0))</f>
        <v>M</v>
      </c>
      <c r="K936" s="4">
        <f>INDEX(products!$A$1:$G$49, MATCH(orders!$D936,products!$A$1:$A$49,0), MATCH(K$1,products!$A$1:$G$1,0))</f>
        <v>2.5</v>
      </c>
      <c r="L936" s="5">
        <f>INDEX(products!$A$1:$G$49, MATCH(orders!$D936,products!$A$1:$A$49,0), MATCH(L$1,products!$A$1:$G$1,0))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 = 0, "", _xlfn.XLOOKUP(C937,customers!$A$1:$A$1001,customers!$C$1:$C$1001,,0))</f>
        <v>mdelvespz@nature.com</v>
      </c>
      <c r="H937" s="2" t="str">
        <f>_xlfn.XLOOKUP(C937,customers!$A$1:$A$1001,customers!$G$1:$G$1001,,0)</f>
        <v>United States</v>
      </c>
      <c r="I937" t="str">
        <f>INDEX(products!$A$1:$G$49, MATCH(orders!$D937,products!$A$1:$A$49,0), MATCH(I$1,products!$A$1:$G$1,0))</f>
        <v>Ara</v>
      </c>
      <c r="J937" t="str">
        <f>INDEX(products!$A$1:$G$49, MATCH(orders!$D937,products!$A$1:$A$49,0), MATCH(J$1,products!$A$1:$G$1,0))</f>
        <v>M</v>
      </c>
      <c r="K937" s="4">
        <f>INDEX(products!$A$1:$G$49, MATCH(orders!$D937,products!$A$1:$A$49,0), MATCH(K$1,products!$A$1:$G$1,0))</f>
        <v>2.5</v>
      </c>
      <c r="L937" s="5">
        <f>INDEX(products!$A$1:$G$49, MATCH(orders!$D937,products!$A$1:$A$49,0), MATCH(L$1,products!$A$1:$G$1,0))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 = 0, "", _xlfn.XLOOKUP(C938,customers!$A$1:$A$1001,customers!$C$1:$C$1001,,0))</f>
        <v>dgrittonq0@nydailynews.com</v>
      </c>
      <c r="H938" s="2" t="str">
        <f>_xlfn.XLOOKUP(C938,customers!$A$1:$A$1001,customers!$G$1:$G$1001,,0)</f>
        <v>United States</v>
      </c>
      <c r="I938" t="str">
        <f>INDEX(products!$A$1:$G$49, MATCH(orders!$D938,products!$A$1:$A$49,0), MATCH(I$1,products!$A$1:$G$1,0))</f>
        <v>Lib</v>
      </c>
      <c r="J938" t="str">
        <f>INDEX(products!$A$1:$G$49, MATCH(orders!$D938,products!$A$1:$A$49,0), MATCH(J$1,products!$A$1:$G$1,0))</f>
        <v>D</v>
      </c>
      <c r="K938" s="4">
        <f>INDEX(products!$A$1:$G$49, MATCH(orders!$D938,products!$A$1:$A$49,0), MATCH(K$1,products!$A$1:$G$1,0))</f>
        <v>0.5</v>
      </c>
      <c r="L938" s="5">
        <f>INDEX(products!$A$1:$G$49, MATCH(orders!$D938,products!$A$1:$A$49,0), MATCH(L$1,products!$A$1:$G$1,0))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 = 0, "", _xlfn.XLOOKUP(C939,customers!$A$1:$A$1001,customers!$C$1:$C$1001,,0))</f>
        <v>dgrittonq0@nydailynews.com</v>
      </c>
      <c r="H939" s="2" t="str">
        <f>_xlfn.XLOOKUP(C939,customers!$A$1:$A$1001,customers!$G$1:$G$1001,,0)</f>
        <v>United States</v>
      </c>
      <c r="I939" t="str">
        <f>INDEX(products!$A$1:$G$49, MATCH(orders!$D939,products!$A$1:$A$49,0), MATCH(I$1,products!$A$1:$G$1,0))</f>
        <v>Rob</v>
      </c>
      <c r="J939" t="str">
        <f>INDEX(products!$A$1:$G$49, MATCH(orders!$D939,products!$A$1:$A$49,0), MATCH(J$1,products!$A$1:$G$1,0))</f>
        <v>M</v>
      </c>
      <c r="K939" s="4">
        <f>INDEX(products!$A$1:$G$49, MATCH(orders!$D939,products!$A$1:$A$49,0), MATCH(K$1,products!$A$1:$G$1,0))</f>
        <v>2.5</v>
      </c>
      <c r="L939" s="5">
        <f>INDEX(products!$A$1:$G$49, MATCH(orders!$D939,products!$A$1:$A$49,0), MATCH(L$1,products!$A$1:$G$1,0))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 = 0, "", _xlfn.XLOOKUP(C940,customers!$A$1:$A$1001,customers!$C$1:$C$1001,,0))</f>
        <v>dgutq2@umich.edu</v>
      </c>
      <c r="H940" s="2" t="str">
        <f>_xlfn.XLOOKUP(C940,customers!$A$1:$A$1001,customers!$G$1:$G$1001,,0)</f>
        <v>United States</v>
      </c>
      <c r="I940" t="str">
        <f>INDEX(products!$A$1:$G$49, MATCH(orders!$D940,products!$A$1:$A$49,0), MATCH(I$1,products!$A$1:$G$1,0))</f>
        <v>Exc</v>
      </c>
      <c r="J940" t="str">
        <f>INDEX(products!$A$1:$G$49, MATCH(orders!$D940,products!$A$1:$A$49,0), MATCH(J$1,products!$A$1:$G$1,0))</f>
        <v>L</v>
      </c>
      <c r="K940" s="4">
        <f>INDEX(products!$A$1:$G$49, MATCH(orders!$D940,products!$A$1:$A$49,0), MATCH(K$1,products!$A$1:$G$1,0))</f>
        <v>1</v>
      </c>
      <c r="L940" s="5">
        <f>INDEX(products!$A$1:$G$49, MATCH(orders!$D940,products!$A$1:$A$49,0), MATCH(L$1,products!$A$1:$G$1,0))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 = 0, "", _xlfn.XLOOKUP(C941,customers!$A$1:$A$1001,customers!$C$1:$C$1001,,0))</f>
        <v>wpummeryq3@topsy.com</v>
      </c>
      <c r="H941" s="2" t="str">
        <f>_xlfn.XLOOKUP(C941,customers!$A$1:$A$1001,customers!$G$1:$G$1001,,0)</f>
        <v>United States</v>
      </c>
      <c r="I941" t="str">
        <f>INDEX(products!$A$1:$G$49, MATCH(orders!$D941,products!$A$1:$A$49,0), MATCH(I$1,products!$A$1:$G$1,0))</f>
        <v>Lib</v>
      </c>
      <c r="J941" t="str">
        <f>INDEX(products!$A$1:$G$49, MATCH(orders!$D941,products!$A$1:$A$49,0), MATCH(J$1,products!$A$1:$G$1,0))</f>
        <v>L</v>
      </c>
      <c r="K941" s="4">
        <f>INDEX(products!$A$1:$G$49, MATCH(orders!$D941,products!$A$1:$A$49,0), MATCH(K$1,products!$A$1:$G$1,0))</f>
        <v>0.2</v>
      </c>
      <c r="L941" s="5">
        <f>INDEX(products!$A$1:$G$49, MATCH(orders!$D941,products!$A$1:$A$49,0), MATCH(L$1,products!$A$1:$G$1,0))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 = 0, "", _xlfn.XLOOKUP(C942,customers!$A$1:$A$1001,customers!$C$1:$C$1001,,0))</f>
        <v>gsiudaq4@nytimes.com</v>
      </c>
      <c r="H942" s="2" t="str">
        <f>_xlfn.XLOOKUP(C942,customers!$A$1:$A$1001,customers!$G$1:$G$1001,,0)</f>
        <v>United States</v>
      </c>
      <c r="I942" t="str">
        <f>INDEX(products!$A$1:$G$49, MATCH(orders!$D942,products!$A$1:$A$49,0), MATCH(I$1,products!$A$1:$G$1,0))</f>
        <v>Rob</v>
      </c>
      <c r="J942" t="str">
        <f>INDEX(products!$A$1:$G$49, MATCH(orders!$D942,products!$A$1:$A$49,0), MATCH(J$1,products!$A$1:$G$1,0))</f>
        <v>L</v>
      </c>
      <c r="K942" s="4">
        <f>INDEX(products!$A$1:$G$49, MATCH(orders!$D942,products!$A$1:$A$49,0), MATCH(K$1,products!$A$1:$G$1,0))</f>
        <v>0.5</v>
      </c>
      <c r="L942" s="5">
        <f>INDEX(products!$A$1:$G$49, MATCH(orders!$D942,products!$A$1:$A$49,0), MATCH(L$1,products!$A$1:$G$1,0))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 = 0, "", _xlfn.XLOOKUP(C943,customers!$A$1:$A$1001,customers!$C$1:$C$1001,,0))</f>
        <v>hcrowneq5@wufoo.com</v>
      </c>
      <c r="H943" s="2" t="str">
        <f>_xlfn.XLOOKUP(C943,customers!$A$1:$A$1001,customers!$G$1:$G$1001,,0)</f>
        <v>Ireland</v>
      </c>
      <c r="I943" t="str">
        <f>INDEX(products!$A$1:$G$49, MATCH(orders!$D943,products!$A$1:$A$49,0), MATCH(I$1,products!$A$1:$G$1,0))</f>
        <v>Ara</v>
      </c>
      <c r="J943" t="str">
        <f>INDEX(products!$A$1:$G$49, MATCH(orders!$D943,products!$A$1:$A$49,0), MATCH(J$1,products!$A$1:$G$1,0))</f>
        <v>L</v>
      </c>
      <c r="K943" s="4">
        <f>INDEX(products!$A$1:$G$49, MATCH(orders!$D943,products!$A$1:$A$49,0), MATCH(K$1,products!$A$1:$G$1,0))</f>
        <v>0.5</v>
      </c>
      <c r="L943" s="5">
        <f>INDEX(products!$A$1:$G$49, MATCH(orders!$D943,products!$A$1:$A$49,0), MATCH(L$1,products!$A$1:$G$1,0))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 = 0, "", _xlfn.XLOOKUP(C944,customers!$A$1:$A$1001,customers!$C$1:$C$1001,,0))</f>
        <v>vpawseyq6@tiny.cc</v>
      </c>
      <c r="H944" s="2" t="str">
        <f>_xlfn.XLOOKUP(C944,customers!$A$1:$A$1001,customers!$G$1:$G$1001,,0)</f>
        <v>United States</v>
      </c>
      <c r="I944" t="str">
        <f>INDEX(products!$A$1:$G$49, MATCH(orders!$D944,products!$A$1:$A$49,0), MATCH(I$1,products!$A$1:$G$1,0))</f>
        <v>Rob</v>
      </c>
      <c r="J944" t="str">
        <f>INDEX(products!$A$1:$G$49, MATCH(orders!$D944,products!$A$1:$A$49,0), MATCH(J$1,products!$A$1:$G$1,0))</f>
        <v>L</v>
      </c>
      <c r="K944" s="4">
        <f>INDEX(products!$A$1:$G$49, MATCH(orders!$D944,products!$A$1:$A$49,0), MATCH(K$1,products!$A$1:$G$1,0))</f>
        <v>1</v>
      </c>
      <c r="L944" s="5">
        <f>INDEX(products!$A$1:$G$49, MATCH(orders!$D944,products!$A$1:$A$49,0), MATCH(L$1,products!$A$1:$G$1,0))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 = 0, "", _xlfn.XLOOKUP(C945,customers!$A$1:$A$1001,customers!$C$1:$C$1001,,0))</f>
        <v>awaterhouseq7@istockphoto.com</v>
      </c>
      <c r="H945" s="2" t="str">
        <f>_xlfn.XLOOKUP(C945,customers!$A$1:$A$1001,customers!$G$1:$G$1001,,0)</f>
        <v>United States</v>
      </c>
      <c r="I945" t="str">
        <f>INDEX(products!$A$1:$G$49, MATCH(orders!$D945,products!$A$1:$A$49,0), MATCH(I$1,products!$A$1:$G$1,0))</f>
        <v>Ara</v>
      </c>
      <c r="J945" t="str">
        <f>INDEX(products!$A$1:$G$49, MATCH(orders!$D945,products!$A$1:$A$49,0), MATCH(J$1,products!$A$1:$G$1,0))</f>
        <v>L</v>
      </c>
      <c r="K945" s="4">
        <f>INDEX(products!$A$1:$G$49, MATCH(orders!$D945,products!$A$1:$A$49,0), MATCH(K$1,products!$A$1:$G$1,0))</f>
        <v>0.5</v>
      </c>
      <c r="L945" s="5">
        <f>INDEX(products!$A$1:$G$49, MATCH(orders!$D945,products!$A$1:$A$49,0), MATCH(L$1,products!$A$1:$G$1,0))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 = 0, "", _xlfn.XLOOKUP(C946,customers!$A$1:$A$1001,customers!$C$1:$C$1001,,0))</f>
        <v>fhaughianq8@1688.com</v>
      </c>
      <c r="H946" s="2" t="str">
        <f>_xlfn.XLOOKUP(C946,customers!$A$1:$A$1001,customers!$G$1:$G$1001,,0)</f>
        <v>United States</v>
      </c>
      <c r="I946" t="str">
        <f>INDEX(products!$A$1:$G$49, MATCH(orders!$D946,products!$A$1:$A$49,0), MATCH(I$1,products!$A$1:$G$1,0))</f>
        <v>Rob</v>
      </c>
      <c r="J946" t="str">
        <f>INDEX(products!$A$1:$G$49, MATCH(orders!$D946,products!$A$1:$A$49,0), MATCH(J$1,products!$A$1:$G$1,0))</f>
        <v>L</v>
      </c>
      <c r="K946" s="4">
        <f>INDEX(products!$A$1:$G$49, MATCH(orders!$D946,products!$A$1:$A$49,0), MATCH(K$1,products!$A$1:$G$1,0))</f>
        <v>0.5</v>
      </c>
      <c r="L946" s="5">
        <f>INDEX(products!$A$1:$G$49, MATCH(orders!$D946,products!$A$1:$A$49,0), MATCH(L$1,products!$A$1:$G$1,0))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 = 0, "", _xlfn.XLOOKUP(C947,customers!$A$1:$A$1001,customers!$C$1:$C$1001,,0))</f>
        <v/>
      </c>
      <c r="H947" s="2" t="str">
        <f>_xlfn.XLOOKUP(C947,customers!$A$1:$A$1001,customers!$G$1:$G$1001,,0)</f>
        <v>United States</v>
      </c>
      <c r="I947" t="str">
        <f>INDEX(products!$A$1:$G$49, MATCH(orders!$D947,products!$A$1:$A$49,0), MATCH(I$1,products!$A$1:$G$1,0))</f>
        <v>Lib</v>
      </c>
      <c r="J947" t="str">
        <f>INDEX(products!$A$1:$G$49, MATCH(orders!$D947,products!$A$1:$A$49,0), MATCH(J$1,products!$A$1:$G$1,0))</f>
        <v>D</v>
      </c>
      <c r="K947" s="4">
        <f>INDEX(products!$A$1:$G$49, MATCH(orders!$D947,products!$A$1:$A$49,0), MATCH(K$1,products!$A$1:$G$1,0))</f>
        <v>2.5</v>
      </c>
      <c r="L947" s="5">
        <f>INDEX(products!$A$1:$G$49, MATCH(orders!$D947,products!$A$1:$A$49,0), MATCH(L$1,products!$A$1:$G$1,0))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 = 0, "", _xlfn.XLOOKUP(C948,customers!$A$1:$A$1001,customers!$C$1:$C$1001,,0))</f>
        <v/>
      </c>
      <c r="H948" s="2" t="str">
        <f>_xlfn.XLOOKUP(C948,customers!$A$1:$A$1001,customers!$G$1:$G$1001,,0)</f>
        <v>United States</v>
      </c>
      <c r="I948" t="str">
        <f>INDEX(products!$A$1:$G$49, MATCH(orders!$D948,products!$A$1:$A$49,0), MATCH(I$1,products!$A$1:$G$1,0))</f>
        <v>Lib</v>
      </c>
      <c r="J948" t="str">
        <f>INDEX(products!$A$1:$G$49, MATCH(orders!$D948,products!$A$1:$A$49,0), MATCH(J$1,products!$A$1:$G$1,0))</f>
        <v>D</v>
      </c>
      <c r="K948" s="4">
        <f>INDEX(products!$A$1:$G$49, MATCH(orders!$D948,products!$A$1:$A$49,0), MATCH(K$1,products!$A$1:$G$1,0))</f>
        <v>0.5</v>
      </c>
      <c r="L948" s="5">
        <f>INDEX(products!$A$1:$G$49, MATCH(orders!$D948,products!$A$1:$A$49,0), MATCH(L$1,products!$A$1:$G$1,0))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 = 0, "", _xlfn.XLOOKUP(C949,customers!$A$1:$A$1001,customers!$C$1:$C$1001,,0))</f>
        <v>rfaltinqb@topsy.com</v>
      </c>
      <c r="H949" s="2" t="str">
        <f>_xlfn.XLOOKUP(C949,customers!$A$1:$A$1001,customers!$G$1:$G$1001,,0)</f>
        <v>Ireland</v>
      </c>
      <c r="I949" t="str">
        <f>INDEX(products!$A$1:$G$49, MATCH(orders!$D949,products!$A$1:$A$49,0), MATCH(I$1,products!$A$1:$G$1,0))</f>
        <v>Ara</v>
      </c>
      <c r="J949" t="str">
        <f>INDEX(products!$A$1:$G$49, MATCH(orders!$D949,products!$A$1:$A$49,0), MATCH(J$1,products!$A$1:$G$1,0))</f>
        <v>M</v>
      </c>
      <c r="K949" s="4">
        <f>INDEX(products!$A$1:$G$49, MATCH(orders!$D949,products!$A$1:$A$49,0), MATCH(K$1,products!$A$1:$G$1,0))</f>
        <v>1</v>
      </c>
      <c r="L949" s="5">
        <f>INDEX(products!$A$1:$G$49, MATCH(orders!$D949,products!$A$1:$A$49,0), MATCH(L$1,products!$A$1:$G$1,0))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 = 0, "", _xlfn.XLOOKUP(C950,customers!$A$1:$A$1001,customers!$C$1:$C$1001,,0))</f>
        <v>gcheekeqc@sitemeter.com</v>
      </c>
      <c r="H950" s="2" t="str">
        <f>_xlfn.XLOOKUP(C950,customers!$A$1:$A$1001,customers!$G$1:$G$1001,,0)</f>
        <v>United Kingdom</v>
      </c>
      <c r="I950" t="str">
        <f>INDEX(products!$A$1:$G$49, MATCH(orders!$D950,products!$A$1:$A$49,0), MATCH(I$1,products!$A$1:$G$1,0))</f>
        <v>Exc</v>
      </c>
      <c r="J950" t="str">
        <f>INDEX(products!$A$1:$G$49, MATCH(orders!$D950,products!$A$1:$A$49,0), MATCH(J$1,products!$A$1:$G$1,0))</f>
        <v>D</v>
      </c>
      <c r="K950" s="4">
        <f>INDEX(products!$A$1:$G$49, MATCH(orders!$D950,products!$A$1:$A$49,0), MATCH(K$1,products!$A$1:$G$1,0))</f>
        <v>2.5</v>
      </c>
      <c r="L950" s="5">
        <f>INDEX(products!$A$1:$G$49, MATCH(orders!$D950,products!$A$1:$A$49,0), MATCH(L$1,products!$A$1:$G$1,0))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 = 0, "", _xlfn.XLOOKUP(C951,customers!$A$1:$A$1001,customers!$C$1:$C$1001,,0))</f>
        <v>grattqd@phpbb.com</v>
      </c>
      <c r="H951" s="2" t="str">
        <f>_xlfn.XLOOKUP(C951,customers!$A$1:$A$1001,customers!$G$1:$G$1001,,0)</f>
        <v>Ireland</v>
      </c>
      <c r="I951" t="str">
        <f>INDEX(products!$A$1:$G$49, MATCH(orders!$D951,products!$A$1:$A$49,0), MATCH(I$1,products!$A$1:$G$1,0))</f>
        <v>Rob</v>
      </c>
      <c r="J951" t="str">
        <f>INDEX(products!$A$1:$G$49, MATCH(orders!$D951,products!$A$1:$A$49,0), MATCH(J$1,products!$A$1:$G$1,0))</f>
        <v>L</v>
      </c>
      <c r="K951" s="4">
        <f>INDEX(products!$A$1:$G$49, MATCH(orders!$D951,products!$A$1:$A$49,0), MATCH(K$1,products!$A$1:$G$1,0))</f>
        <v>2.5</v>
      </c>
      <c r="L951" s="5">
        <f>INDEX(products!$A$1:$G$49, MATCH(orders!$D951,products!$A$1:$A$49,0), MATCH(L$1,products!$A$1:$G$1,0))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 = 0, "", _xlfn.XLOOKUP(C952,customers!$A$1:$A$1001,customers!$C$1:$C$1001,,0))</f>
        <v/>
      </c>
      <c r="H952" s="2" t="str">
        <f>_xlfn.XLOOKUP(C952,customers!$A$1:$A$1001,customers!$G$1:$G$1001,,0)</f>
        <v>United States</v>
      </c>
      <c r="I952" t="str">
        <f>INDEX(products!$A$1:$G$49, MATCH(orders!$D952,products!$A$1:$A$49,0), MATCH(I$1,products!$A$1:$G$1,0))</f>
        <v>Rob</v>
      </c>
      <c r="J952" t="str">
        <f>INDEX(products!$A$1:$G$49, MATCH(orders!$D952,products!$A$1:$A$49,0), MATCH(J$1,products!$A$1:$G$1,0))</f>
        <v>L</v>
      </c>
      <c r="K952" s="4">
        <f>INDEX(products!$A$1:$G$49, MATCH(orders!$D952,products!$A$1:$A$49,0), MATCH(K$1,products!$A$1:$G$1,0))</f>
        <v>0.2</v>
      </c>
      <c r="L952" s="5">
        <f>INDEX(products!$A$1:$G$49, MATCH(orders!$D952,products!$A$1:$A$49,0), MATCH(L$1,products!$A$1:$G$1,0))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 = 0, "", _xlfn.XLOOKUP(C953,customers!$A$1:$A$1001,customers!$C$1:$C$1001,,0))</f>
        <v>ieberleinqf@hc360.com</v>
      </c>
      <c r="H953" s="2" t="str">
        <f>_xlfn.XLOOKUP(C953,customers!$A$1:$A$1001,customers!$G$1:$G$1001,,0)</f>
        <v>United States</v>
      </c>
      <c r="I953" t="str">
        <f>INDEX(products!$A$1:$G$49, MATCH(orders!$D953,products!$A$1:$A$49,0), MATCH(I$1,products!$A$1:$G$1,0))</f>
        <v>Rob</v>
      </c>
      <c r="J953" t="str">
        <f>INDEX(products!$A$1:$G$49, MATCH(orders!$D953,products!$A$1:$A$49,0), MATCH(J$1,products!$A$1:$G$1,0))</f>
        <v>L</v>
      </c>
      <c r="K953" s="4">
        <f>INDEX(products!$A$1:$G$49, MATCH(orders!$D953,products!$A$1:$A$49,0), MATCH(K$1,products!$A$1:$G$1,0))</f>
        <v>0.2</v>
      </c>
      <c r="L953" s="5">
        <f>INDEX(products!$A$1:$G$49, MATCH(orders!$D953,products!$A$1:$A$49,0), MATCH(L$1,products!$A$1:$G$1,0))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 = 0, "", _xlfn.XLOOKUP(C954,customers!$A$1:$A$1001,customers!$C$1:$C$1001,,0))</f>
        <v>jdrengqg@uiuc.edu</v>
      </c>
      <c r="H954" s="2" t="str">
        <f>_xlfn.XLOOKUP(C954,customers!$A$1:$A$1001,customers!$G$1:$G$1001,,0)</f>
        <v>Ireland</v>
      </c>
      <c r="I954" t="str">
        <f>INDEX(products!$A$1:$G$49, MATCH(orders!$D954,products!$A$1:$A$49,0), MATCH(I$1,products!$A$1:$G$1,0))</f>
        <v>Ara</v>
      </c>
      <c r="J954" t="str">
        <f>INDEX(products!$A$1:$G$49, MATCH(orders!$D954,products!$A$1:$A$49,0), MATCH(J$1,products!$A$1:$G$1,0))</f>
        <v>M</v>
      </c>
      <c r="K954" s="4">
        <f>INDEX(products!$A$1:$G$49, MATCH(orders!$D954,products!$A$1:$A$49,0), MATCH(K$1,products!$A$1:$G$1,0))</f>
        <v>1</v>
      </c>
      <c r="L954" s="5">
        <f>INDEX(products!$A$1:$G$49, MATCH(orders!$D954,products!$A$1:$A$49,0), MATCH(L$1,products!$A$1:$G$1,0))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 = 0, "", _xlfn.XLOOKUP(C955,customers!$A$1:$A$1001,customers!$C$1:$C$1001,,0))</f>
        <v/>
      </c>
      <c r="H955" s="2" t="str">
        <f>_xlfn.XLOOKUP(C955,customers!$A$1:$A$1001,customers!$G$1:$G$1001,,0)</f>
        <v>United States</v>
      </c>
      <c r="I955" t="str">
        <f>INDEX(products!$A$1:$G$49, MATCH(orders!$D955,products!$A$1:$A$49,0), MATCH(I$1,products!$A$1:$G$1,0))</f>
        <v>Ara</v>
      </c>
      <c r="J955" t="str">
        <f>INDEX(products!$A$1:$G$49, MATCH(orders!$D955,products!$A$1:$A$49,0), MATCH(J$1,products!$A$1:$G$1,0))</f>
        <v>L</v>
      </c>
      <c r="K955" s="4">
        <f>INDEX(products!$A$1:$G$49, MATCH(orders!$D955,products!$A$1:$A$49,0), MATCH(K$1,products!$A$1:$G$1,0))</f>
        <v>0.2</v>
      </c>
      <c r="L955" s="5">
        <f>INDEX(products!$A$1:$G$49, MATCH(orders!$D955,products!$A$1:$A$49,0), MATCH(L$1,products!$A$1:$G$1,0))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 = 0, "", _xlfn.XLOOKUP(C956,customers!$A$1:$A$1001,customers!$C$1:$C$1001,,0))</f>
        <v/>
      </c>
      <c r="H956" s="2" t="str">
        <f>_xlfn.XLOOKUP(C956,customers!$A$1:$A$1001,customers!$G$1:$G$1001,,0)</f>
        <v>United States</v>
      </c>
      <c r="I956" t="str">
        <f>INDEX(products!$A$1:$G$49, MATCH(orders!$D956,products!$A$1:$A$49,0), MATCH(I$1,products!$A$1:$G$1,0))</f>
        <v>Exc</v>
      </c>
      <c r="J956" t="str">
        <f>INDEX(products!$A$1:$G$49, MATCH(orders!$D956,products!$A$1:$A$49,0), MATCH(J$1,products!$A$1:$G$1,0))</f>
        <v>D</v>
      </c>
      <c r="K956" s="4">
        <f>INDEX(products!$A$1:$G$49, MATCH(orders!$D956,products!$A$1:$A$49,0), MATCH(K$1,products!$A$1:$G$1,0))</f>
        <v>2.5</v>
      </c>
      <c r="L956" s="5">
        <f>INDEX(products!$A$1:$G$49, MATCH(orders!$D956,products!$A$1:$A$49,0), MATCH(L$1,products!$A$1:$G$1,0))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 = 0, "", _xlfn.XLOOKUP(C957,customers!$A$1:$A$1001,customers!$C$1:$C$1001,,0))</f>
        <v/>
      </c>
      <c r="H957" s="2" t="str">
        <f>_xlfn.XLOOKUP(C957,customers!$A$1:$A$1001,customers!$G$1:$G$1001,,0)</f>
        <v>United States</v>
      </c>
      <c r="I957" t="str">
        <f>INDEX(products!$A$1:$G$49, MATCH(orders!$D957,products!$A$1:$A$49,0), MATCH(I$1,products!$A$1:$G$1,0))</f>
        <v>Exc</v>
      </c>
      <c r="J957" t="str">
        <f>INDEX(products!$A$1:$G$49, MATCH(orders!$D957,products!$A$1:$A$49,0), MATCH(J$1,products!$A$1:$G$1,0))</f>
        <v>L</v>
      </c>
      <c r="K957" s="4">
        <f>INDEX(products!$A$1:$G$49, MATCH(orders!$D957,products!$A$1:$A$49,0), MATCH(K$1,products!$A$1:$G$1,0))</f>
        <v>2.5</v>
      </c>
      <c r="L957" s="5">
        <f>INDEX(products!$A$1:$G$49, MATCH(orders!$D957,products!$A$1:$A$49,0), MATCH(L$1,products!$A$1:$G$1,0))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 = 0, "", _xlfn.XLOOKUP(C958,customers!$A$1:$A$1001,customers!$C$1:$C$1001,,0))</f>
        <v/>
      </c>
      <c r="H958" s="2" t="str">
        <f>_xlfn.XLOOKUP(C958,customers!$A$1:$A$1001,customers!$G$1:$G$1001,,0)</f>
        <v>United States</v>
      </c>
      <c r="I958" t="str">
        <f>INDEX(products!$A$1:$G$49, MATCH(orders!$D958,products!$A$1:$A$49,0), MATCH(I$1,products!$A$1:$G$1,0))</f>
        <v>Rob</v>
      </c>
      <c r="J958" t="str">
        <f>INDEX(products!$A$1:$G$49, MATCH(orders!$D958,products!$A$1:$A$49,0), MATCH(J$1,products!$A$1:$G$1,0))</f>
        <v>L</v>
      </c>
      <c r="K958" s="4">
        <f>INDEX(products!$A$1:$G$49, MATCH(orders!$D958,products!$A$1:$A$49,0), MATCH(K$1,products!$A$1:$G$1,0))</f>
        <v>2.5</v>
      </c>
      <c r="L958" s="5">
        <f>INDEX(products!$A$1:$G$49, MATCH(orders!$D958,products!$A$1:$A$49,0), MATCH(L$1,products!$A$1:$G$1,0))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 = 0, "", _xlfn.XLOOKUP(C959,customers!$A$1:$A$1001,customers!$C$1:$C$1001,,0))</f>
        <v/>
      </c>
      <c r="H959" s="2" t="str">
        <f>_xlfn.XLOOKUP(C959,customers!$A$1:$A$1001,customers!$G$1:$G$1001,,0)</f>
        <v>United States</v>
      </c>
      <c r="I959" t="str">
        <f>INDEX(products!$A$1:$G$49, MATCH(orders!$D959,products!$A$1:$A$49,0), MATCH(I$1,products!$A$1:$G$1,0))</f>
        <v>Exc</v>
      </c>
      <c r="J959" t="str">
        <f>INDEX(products!$A$1:$G$49, MATCH(orders!$D959,products!$A$1:$A$49,0), MATCH(J$1,products!$A$1:$G$1,0))</f>
        <v>L</v>
      </c>
      <c r="K959" s="4">
        <f>INDEX(products!$A$1:$G$49, MATCH(orders!$D959,products!$A$1:$A$49,0), MATCH(K$1,products!$A$1:$G$1,0))</f>
        <v>1</v>
      </c>
      <c r="L959" s="5">
        <f>INDEX(products!$A$1:$G$49, MATCH(orders!$D959,products!$A$1:$A$49,0), MATCH(L$1,products!$A$1:$G$1,0))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 = 0, "", _xlfn.XLOOKUP(C960,customers!$A$1:$A$1001,customers!$C$1:$C$1001,,0))</f>
        <v/>
      </c>
      <c r="H960" s="2" t="str">
        <f>_xlfn.XLOOKUP(C960,customers!$A$1:$A$1001,customers!$G$1:$G$1001,,0)</f>
        <v>United States</v>
      </c>
      <c r="I960" t="str">
        <f>INDEX(products!$A$1:$G$49, MATCH(orders!$D960,products!$A$1:$A$49,0), MATCH(I$1,products!$A$1:$G$1,0))</f>
        <v>Ara</v>
      </c>
      <c r="J960" t="str">
        <f>INDEX(products!$A$1:$G$49, MATCH(orders!$D960,products!$A$1:$A$49,0), MATCH(J$1,products!$A$1:$G$1,0))</f>
        <v>L</v>
      </c>
      <c r="K960" s="4">
        <f>INDEX(products!$A$1:$G$49, MATCH(orders!$D960,products!$A$1:$A$49,0), MATCH(K$1,products!$A$1:$G$1,0))</f>
        <v>0.2</v>
      </c>
      <c r="L960" s="5">
        <f>INDEX(products!$A$1:$G$49, MATCH(orders!$D960,products!$A$1:$A$49,0), MATCH(L$1,products!$A$1:$G$1,0))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 = 0, "", _xlfn.XLOOKUP(C961,customers!$A$1:$A$1001,customers!$C$1:$C$1001,,0))</f>
        <v>rstrathernqn@devhub.com</v>
      </c>
      <c r="H961" s="2" t="str">
        <f>_xlfn.XLOOKUP(C961,customers!$A$1:$A$1001,customers!$G$1:$G$1001,,0)</f>
        <v>United States</v>
      </c>
      <c r="I961" t="str">
        <f>INDEX(products!$A$1:$G$49, MATCH(orders!$D961,products!$A$1:$A$49,0), MATCH(I$1,products!$A$1:$G$1,0))</f>
        <v>Lib</v>
      </c>
      <c r="J961" t="str">
        <f>INDEX(products!$A$1:$G$49, MATCH(orders!$D961,products!$A$1:$A$49,0), MATCH(J$1,products!$A$1:$G$1,0))</f>
        <v>L</v>
      </c>
      <c r="K961" s="4">
        <f>INDEX(products!$A$1:$G$49, MATCH(orders!$D961,products!$A$1:$A$49,0), MATCH(K$1,products!$A$1:$G$1,0))</f>
        <v>0.2</v>
      </c>
      <c r="L961" s="5">
        <f>INDEX(products!$A$1:$G$49, MATCH(orders!$D961,products!$A$1:$A$49,0), MATCH(L$1,products!$A$1:$G$1,0))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 = 0, "", _xlfn.XLOOKUP(C962,customers!$A$1:$A$1001,customers!$C$1:$C$1001,,0))</f>
        <v>cmiguelqo@exblog.jp</v>
      </c>
      <c r="H962" s="2" t="str">
        <f>_xlfn.XLOOKUP(C962,customers!$A$1:$A$1001,customers!$G$1:$G$1001,,0)</f>
        <v>United States</v>
      </c>
      <c r="I962" t="str">
        <f>INDEX(products!$A$1:$G$49, MATCH(orders!$D962,products!$A$1:$A$49,0), MATCH(I$1,products!$A$1:$G$1,0))</f>
        <v>Lib</v>
      </c>
      <c r="J962" t="str">
        <f>INDEX(products!$A$1:$G$49, MATCH(orders!$D962,products!$A$1:$A$49,0), MATCH(J$1,products!$A$1:$G$1,0))</f>
        <v>L</v>
      </c>
      <c r="K962" s="4">
        <f>INDEX(products!$A$1:$G$49, MATCH(orders!$D962,products!$A$1:$A$49,0), MATCH(K$1,products!$A$1:$G$1,0))</f>
        <v>1</v>
      </c>
      <c r="L962" s="5">
        <f>INDEX(products!$A$1:$G$49, MATCH(orders!$D962,products!$A$1:$A$49,0), MATCH(L$1,products!$A$1:$G$1,0))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 = 0, "", _xlfn.XLOOKUP(C963,customers!$A$1:$A$1001,customers!$C$1:$C$1001,,0))</f>
        <v/>
      </c>
      <c r="H963" s="2" t="str">
        <f>_xlfn.XLOOKUP(C963,customers!$A$1:$A$1001,customers!$G$1:$G$1001,,0)</f>
        <v>United States</v>
      </c>
      <c r="I963" t="str">
        <f>INDEX(products!$A$1:$G$49, MATCH(orders!$D963,products!$A$1:$A$49,0), MATCH(I$1,products!$A$1:$G$1,0))</f>
        <v>Ara</v>
      </c>
      <c r="J963" t="str">
        <f>INDEX(products!$A$1:$G$49, MATCH(orders!$D963,products!$A$1:$A$49,0), MATCH(J$1,products!$A$1:$G$1,0))</f>
        <v>D</v>
      </c>
      <c r="K963" s="4">
        <f>INDEX(products!$A$1:$G$49, MATCH(orders!$D963,products!$A$1:$A$49,0), MATCH(K$1,products!$A$1:$G$1,0))</f>
        <v>2.5</v>
      </c>
      <c r="L963" s="5">
        <f>INDEX(products!$A$1:$G$49, MATCH(orders!$D963,products!$A$1:$A$49,0), MATCH(L$1,products!$A$1:$G$1,0))</f>
        <v>22.884999999999998</v>
      </c>
      <c r="M963" s="5">
        <f t="shared" ref="M963:M1001" si="45">L963*E963</f>
        <v>45.769999999999996</v>
      </c>
      <c r="N963" t="str">
        <f t="shared" ref="N963:N1001" si="46">IF(I963="Rob", "Robusta", IF(I963 = "Exc", "Excelsa", IF(I963 = "Ara", "Arabica", IF(I963 = "Lib", "Liberica", ""))))</f>
        <v>Arabica</v>
      </c>
      <c r="O963" t="str">
        <f t="shared" ref="O963:O1001" si="47">IF(J963 = "M", "Medium", IF(J963 = "L", "Light", IF( J963 = "D", "Dark", "")))</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 = 0, "", _xlfn.XLOOKUP(C964,customers!$A$1:$A$1001,customers!$C$1:$C$1001,,0))</f>
        <v>mrocksqq@exblog.jp</v>
      </c>
      <c r="H964" s="2" t="str">
        <f>_xlfn.XLOOKUP(C964,customers!$A$1:$A$1001,customers!$G$1:$G$1001,,0)</f>
        <v>Ireland</v>
      </c>
      <c r="I964" t="str">
        <f>INDEX(products!$A$1:$G$49, MATCH(orders!$D964,products!$A$1:$A$49,0), MATCH(I$1,products!$A$1:$G$1,0))</f>
        <v>Rob</v>
      </c>
      <c r="J964" t="str">
        <f>INDEX(products!$A$1:$G$49, MATCH(orders!$D964,products!$A$1:$A$49,0), MATCH(J$1,products!$A$1:$G$1,0))</f>
        <v>D</v>
      </c>
      <c r="K964" s="4">
        <f>INDEX(products!$A$1:$G$49, MATCH(orders!$D964,products!$A$1:$A$49,0), MATCH(K$1,products!$A$1:$G$1,0))</f>
        <v>1</v>
      </c>
      <c r="L964" s="5">
        <f>INDEX(products!$A$1:$G$49, MATCH(orders!$D964,products!$A$1:$A$49,0), MATCH(L$1,products!$A$1:$G$1,0))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 = 0, "", _xlfn.XLOOKUP(C965,customers!$A$1:$A$1001,customers!$C$1:$C$1001,,0))</f>
        <v>yburrellsqr@vinaora.com</v>
      </c>
      <c r="H965" s="2" t="str">
        <f>_xlfn.XLOOKUP(C965,customers!$A$1:$A$1001,customers!$G$1:$G$1001,,0)</f>
        <v>United States</v>
      </c>
      <c r="I965" t="str">
        <f>INDEX(products!$A$1:$G$49, MATCH(orders!$D965,products!$A$1:$A$49,0), MATCH(I$1,products!$A$1:$G$1,0))</f>
        <v>Rob</v>
      </c>
      <c r="J965" t="str">
        <f>INDEX(products!$A$1:$G$49, MATCH(orders!$D965,products!$A$1:$A$49,0), MATCH(J$1,products!$A$1:$G$1,0))</f>
        <v>M</v>
      </c>
      <c r="K965" s="4">
        <f>INDEX(products!$A$1:$G$49, MATCH(orders!$D965,products!$A$1:$A$49,0), MATCH(K$1,products!$A$1:$G$1,0))</f>
        <v>0.5</v>
      </c>
      <c r="L965" s="5">
        <f>INDEX(products!$A$1:$G$49, MATCH(orders!$D965,products!$A$1:$A$49,0), MATCH(L$1,products!$A$1:$G$1,0))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 = 0, "", _xlfn.XLOOKUP(C966,customers!$A$1:$A$1001,customers!$C$1:$C$1001,,0))</f>
        <v>cgoodrumqs@goodreads.com</v>
      </c>
      <c r="H966" s="2" t="str">
        <f>_xlfn.XLOOKUP(C966,customers!$A$1:$A$1001,customers!$G$1:$G$1001,,0)</f>
        <v>United States</v>
      </c>
      <c r="I966" t="str">
        <f>INDEX(products!$A$1:$G$49, MATCH(orders!$D966,products!$A$1:$A$49,0), MATCH(I$1,products!$A$1:$G$1,0))</f>
        <v>Exc</v>
      </c>
      <c r="J966" t="str">
        <f>INDEX(products!$A$1:$G$49, MATCH(orders!$D966,products!$A$1:$A$49,0), MATCH(J$1,products!$A$1:$G$1,0))</f>
        <v>L</v>
      </c>
      <c r="K966" s="4">
        <f>INDEX(products!$A$1:$G$49, MATCH(orders!$D966,products!$A$1:$A$49,0), MATCH(K$1,products!$A$1:$G$1,0))</f>
        <v>0.2</v>
      </c>
      <c r="L966" s="5">
        <f>INDEX(products!$A$1:$G$49, MATCH(orders!$D966,products!$A$1:$A$49,0), MATCH(L$1,products!$A$1:$G$1,0))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 = 0, "", _xlfn.XLOOKUP(C967,customers!$A$1:$A$1001,customers!$C$1:$C$1001,,0))</f>
        <v>jjefferysqt@blog.com</v>
      </c>
      <c r="H967" s="2" t="str">
        <f>_xlfn.XLOOKUP(C967,customers!$A$1:$A$1001,customers!$G$1:$G$1001,,0)</f>
        <v>United States</v>
      </c>
      <c r="I967" t="str">
        <f>INDEX(products!$A$1:$G$49, MATCH(orders!$D967,products!$A$1:$A$49,0), MATCH(I$1,products!$A$1:$G$1,0))</f>
        <v>Rob</v>
      </c>
      <c r="J967" t="str">
        <f>INDEX(products!$A$1:$G$49, MATCH(orders!$D967,products!$A$1:$A$49,0), MATCH(J$1,products!$A$1:$G$1,0))</f>
        <v>M</v>
      </c>
      <c r="K967" s="4">
        <f>INDEX(products!$A$1:$G$49, MATCH(orders!$D967,products!$A$1:$A$49,0), MATCH(K$1,products!$A$1:$G$1,0))</f>
        <v>1</v>
      </c>
      <c r="L967" s="5">
        <f>INDEX(products!$A$1:$G$49, MATCH(orders!$D967,products!$A$1:$A$49,0), MATCH(L$1,products!$A$1:$G$1,0))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 = 0, "", _xlfn.XLOOKUP(C968,customers!$A$1:$A$1001,customers!$C$1:$C$1001,,0))</f>
        <v>bwardellqu@adobe.com</v>
      </c>
      <c r="H968" s="2" t="str">
        <f>_xlfn.XLOOKUP(C968,customers!$A$1:$A$1001,customers!$G$1:$G$1001,,0)</f>
        <v>United States</v>
      </c>
      <c r="I968" t="str">
        <f>INDEX(products!$A$1:$G$49, MATCH(orders!$D968,products!$A$1:$A$49,0), MATCH(I$1,products!$A$1:$G$1,0))</f>
        <v>Exc</v>
      </c>
      <c r="J968" t="str">
        <f>INDEX(products!$A$1:$G$49, MATCH(orders!$D968,products!$A$1:$A$49,0), MATCH(J$1,products!$A$1:$G$1,0))</f>
        <v>L</v>
      </c>
      <c r="K968" s="4">
        <f>INDEX(products!$A$1:$G$49, MATCH(orders!$D968,products!$A$1:$A$49,0), MATCH(K$1,products!$A$1:$G$1,0))</f>
        <v>0.5</v>
      </c>
      <c r="L968" s="5">
        <f>INDEX(products!$A$1:$G$49, MATCH(orders!$D968,products!$A$1:$A$49,0), MATCH(L$1,products!$A$1:$G$1,0))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 = 0, "", _xlfn.XLOOKUP(C969,customers!$A$1:$A$1001,customers!$C$1:$C$1001,,0))</f>
        <v>zwalisiakqv@ucsd.edu</v>
      </c>
      <c r="H969" s="2" t="str">
        <f>_xlfn.XLOOKUP(C969,customers!$A$1:$A$1001,customers!$G$1:$G$1001,,0)</f>
        <v>Ireland</v>
      </c>
      <c r="I969" t="str">
        <f>INDEX(products!$A$1:$G$49, MATCH(orders!$D969,products!$A$1:$A$49,0), MATCH(I$1,products!$A$1:$G$1,0))</f>
        <v>Rob</v>
      </c>
      <c r="J969" t="str">
        <f>INDEX(products!$A$1:$G$49, MATCH(orders!$D969,products!$A$1:$A$49,0), MATCH(J$1,products!$A$1:$G$1,0))</f>
        <v>D</v>
      </c>
      <c r="K969" s="4">
        <f>INDEX(products!$A$1:$G$49, MATCH(orders!$D969,products!$A$1:$A$49,0), MATCH(K$1,products!$A$1:$G$1,0))</f>
        <v>0.2</v>
      </c>
      <c r="L969" s="5">
        <f>INDEX(products!$A$1:$G$49, MATCH(orders!$D969,products!$A$1:$A$49,0), MATCH(L$1,products!$A$1:$G$1,0))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 = 0, "", _xlfn.XLOOKUP(C970,customers!$A$1:$A$1001,customers!$C$1:$C$1001,,0))</f>
        <v>wleopoldqw@blogspot.com</v>
      </c>
      <c r="H970" s="2" t="str">
        <f>_xlfn.XLOOKUP(C970,customers!$A$1:$A$1001,customers!$G$1:$G$1001,,0)</f>
        <v>United States</v>
      </c>
      <c r="I970" t="str">
        <f>INDEX(products!$A$1:$G$49, MATCH(orders!$D970,products!$A$1:$A$49,0), MATCH(I$1,products!$A$1:$G$1,0))</f>
        <v>Rob</v>
      </c>
      <c r="J970" t="str">
        <f>INDEX(products!$A$1:$G$49, MATCH(orders!$D970,products!$A$1:$A$49,0), MATCH(J$1,products!$A$1:$G$1,0))</f>
        <v>M</v>
      </c>
      <c r="K970" s="4">
        <f>INDEX(products!$A$1:$G$49, MATCH(orders!$D970,products!$A$1:$A$49,0), MATCH(K$1,products!$A$1:$G$1,0))</f>
        <v>0.2</v>
      </c>
      <c r="L970" s="5">
        <f>INDEX(products!$A$1:$G$49, MATCH(orders!$D970,products!$A$1:$A$49,0), MATCH(L$1,products!$A$1:$G$1,0))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 = 0, "", _xlfn.XLOOKUP(C971,customers!$A$1:$A$1001,customers!$C$1:$C$1001,,0))</f>
        <v>cshaldersqx@cisco.com</v>
      </c>
      <c r="H971" s="2" t="str">
        <f>_xlfn.XLOOKUP(C971,customers!$A$1:$A$1001,customers!$G$1:$G$1001,,0)</f>
        <v>United States</v>
      </c>
      <c r="I971" t="str">
        <f>INDEX(products!$A$1:$G$49, MATCH(orders!$D971,products!$A$1:$A$49,0), MATCH(I$1,products!$A$1:$G$1,0))</f>
        <v>Lib</v>
      </c>
      <c r="J971" t="str">
        <f>INDEX(products!$A$1:$G$49, MATCH(orders!$D971,products!$A$1:$A$49,0), MATCH(J$1,products!$A$1:$G$1,0))</f>
        <v>D</v>
      </c>
      <c r="K971" s="4">
        <f>INDEX(products!$A$1:$G$49, MATCH(orders!$D971,products!$A$1:$A$49,0), MATCH(K$1,products!$A$1:$G$1,0))</f>
        <v>1</v>
      </c>
      <c r="L971" s="5">
        <f>INDEX(products!$A$1:$G$49, MATCH(orders!$D971,products!$A$1:$A$49,0), MATCH(L$1,products!$A$1:$G$1,0))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 = 0, "", _xlfn.XLOOKUP(C972,customers!$A$1:$A$1001,customers!$C$1:$C$1001,,0))</f>
        <v/>
      </c>
      <c r="H972" s="2" t="str">
        <f>_xlfn.XLOOKUP(C972,customers!$A$1:$A$1001,customers!$G$1:$G$1001,,0)</f>
        <v>United States</v>
      </c>
      <c r="I972" t="str">
        <f>INDEX(products!$A$1:$G$49, MATCH(orders!$D972,products!$A$1:$A$49,0), MATCH(I$1,products!$A$1:$G$1,0))</f>
        <v>Exc</v>
      </c>
      <c r="J972" t="str">
        <f>INDEX(products!$A$1:$G$49, MATCH(orders!$D972,products!$A$1:$A$49,0), MATCH(J$1,products!$A$1:$G$1,0))</f>
        <v>M</v>
      </c>
      <c r="K972" s="4">
        <f>INDEX(products!$A$1:$G$49, MATCH(orders!$D972,products!$A$1:$A$49,0), MATCH(K$1,products!$A$1:$G$1,0))</f>
        <v>0.5</v>
      </c>
      <c r="L972" s="5">
        <f>INDEX(products!$A$1:$G$49, MATCH(orders!$D972,products!$A$1:$A$49,0), MATCH(L$1,products!$A$1:$G$1,0))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 = 0, "", _xlfn.XLOOKUP(C973,customers!$A$1:$A$1001,customers!$C$1:$C$1001,,0))</f>
        <v>nfurberqz@jugem.jp</v>
      </c>
      <c r="H973" s="2" t="str">
        <f>_xlfn.XLOOKUP(C973,customers!$A$1:$A$1001,customers!$G$1:$G$1001,,0)</f>
        <v>United States</v>
      </c>
      <c r="I973" t="str">
        <f>INDEX(products!$A$1:$G$49, MATCH(orders!$D973,products!$A$1:$A$49,0), MATCH(I$1,products!$A$1:$G$1,0))</f>
        <v>Ara</v>
      </c>
      <c r="J973" t="str">
        <f>INDEX(products!$A$1:$G$49, MATCH(orders!$D973,products!$A$1:$A$49,0), MATCH(J$1,products!$A$1:$G$1,0))</f>
        <v>L</v>
      </c>
      <c r="K973" s="4">
        <f>INDEX(products!$A$1:$G$49, MATCH(orders!$D973,products!$A$1:$A$49,0), MATCH(K$1,products!$A$1:$G$1,0))</f>
        <v>2.5</v>
      </c>
      <c r="L973" s="5">
        <f>INDEX(products!$A$1:$G$49, MATCH(orders!$D973,products!$A$1:$A$49,0), MATCH(L$1,products!$A$1:$G$1,0))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 = 0, "", _xlfn.XLOOKUP(C974,customers!$A$1:$A$1001,customers!$C$1:$C$1001,,0))</f>
        <v/>
      </c>
      <c r="H974" s="2" t="str">
        <f>_xlfn.XLOOKUP(C974,customers!$A$1:$A$1001,customers!$G$1:$G$1001,,0)</f>
        <v>Ireland</v>
      </c>
      <c r="I974" t="str">
        <f>INDEX(products!$A$1:$G$49, MATCH(orders!$D974,products!$A$1:$A$49,0), MATCH(I$1,products!$A$1:$G$1,0))</f>
        <v>Ara</v>
      </c>
      <c r="J974" t="str">
        <f>INDEX(products!$A$1:$G$49, MATCH(orders!$D974,products!$A$1:$A$49,0), MATCH(J$1,products!$A$1:$G$1,0))</f>
        <v>L</v>
      </c>
      <c r="K974" s="4">
        <f>INDEX(products!$A$1:$G$49, MATCH(orders!$D974,products!$A$1:$A$49,0), MATCH(K$1,products!$A$1:$G$1,0))</f>
        <v>2.5</v>
      </c>
      <c r="L974" s="5">
        <f>INDEX(products!$A$1:$G$49, MATCH(orders!$D974,products!$A$1:$A$49,0), MATCH(L$1,products!$A$1:$G$1,0))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 = 0, "", _xlfn.XLOOKUP(C975,customers!$A$1:$A$1001,customers!$C$1:$C$1001,,0))</f>
        <v>ckeaver1@ucoz.com</v>
      </c>
      <c r="H975" s="2" t="str">
        <f>_xlfn.XLOOKUP(C975,customers!$A$1:$A$1001,customers!$G$1:$G$1001,,0)</f>
        <v>United States</v>
      </c>
      <c r="I975" t="str">
        <f>INDEX(products!$A$1:$G$49, MATCH(orders!$D975,products!$A$1:$A$49,0), MATCH(I$1,products!$A$1:$G$1,0))</f>
        <v>Lib</v>
      </c>
      <c r="J975" t="str">
        <f>INDEX(products!$A$1:$G$49, MATCH(orders!$D975,products!$A$1:$A$49,0), MATCH(J$1,products!$A$1:$G$1,0))</f>
        <v>M</v>
      </c>
      <c r="K975" s="4">
        <f>INDEX(products!$A$1:$G$49, MATCH(orders!$D975,products!$A$1:$A$49,0), MATCH(K$1,products!$A$1:$G$1,0))</f>
        <v>1</v>
      </c>
      <c r="L975" s="5">
        <f>INDEX(products!$A$1:$G$49, MATCH(orders!$D975,products!$A$1:$A$49,0), MATCH(L$1,products!$A$1:$G$1,0))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 = 0, "", _xlfn.XLOOKUP(C976,customers!$A$1:$A$1001,customers!$C$1:$C$1001,,0))</f>
        <v>sroseboroughr2@virginia.edu</v>
      </c>
      <c r="H976" s="2" t="str">
        <f>_xlfn.XLOOKUP(C976,customers!$A$1:$A$1001,customers!$G$1:$G$1001,,0)</f>
        <v>United States</v>
      </c>
      <c r="I976" t="str">
        <f>INDEX(products!$A$1:$G$49, MATCH(orders!$D976,products!$A$1:$A$49,0), MATCH(I$1,products!$A$1:$G$1,0))</f>
        <v>Rob</v>
      </c>
      <c r="J976" t="str">
        <f>INDEX(products!$A$1:$G$49, MATCH(orders!$D976,products!$A$1:$A$49,0), MATCH(J$1,products!$A$1:$G$1,0))</f>
        <v>D</v>
      </c>
      <c r="K976" s="4">
        <f>INDEX(products!$A$1:$G$49, MATCH(orders!$D976,products!$A$1:$A$49,0), MATCH(K$1,products!$A$1:$G$1,0))</f>
        <v>0.5</v>
      </c>
      <c r="L976" s="5">
        <f>INDEX(products!$A$1:$G$49, MATCH(orders!$D976,products!$A$1:$A$49,0), MATCH(L$1,products!$A$1:$G$1,0))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 = 0, "", _xlfn.XLOOKUP(C977,customers!$A$1:$A$1001,customers!$C$1:$C$1001,,0))</f>
        <v>ckingwellr3@squarespace.com</v>
      </c>
      <c r="H977" s="2" t="str">
        <f>_xlfn.XLOOKUP(C977,customers!$A$1:$A$1001,customers!$G$1:$G$1001,,0)</f>
        <v>Ireland</v>
      </c>
      <c r="I977" t="str">
        <f>INDEX(products!$A$1:$G$49, MATCH(orders!$D977,products!$A$1:$A$49,0), MATCH(I$1,products!$A$1:$G$1,0))</f>
        <v>Ara</v>
      </c>
      <c r="J977" t="str">
        <f>INDEX(products!$A$1:$G$49, MATCH(orders!$D977,products!$A$1:$A$49,0), MATCH(J$1,products!$A$1:$G$1,0))</f>
        <v>D</v>
      </c>
      <c r="K977" s="4">
        <f>INDEX(products!$A$1:$G$49, MATCH(orders!$D977,products!$A$1:$A$49,0), MATCH(K$1,products!$A$1:$G$1,0))</f>
        <v>0.2</v>
      </c>
      <c r="L977" s="5">
        <f>INDEX(products!$A$1:$G$49, MATCH(orders!$D977,products!$A$1:$A$49,0), MATCH(L$1,products!$A$1:$G$1,0))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 = 0, "", _xlfn.XLOOKUP(C978,customers!$A$1:$A$1001,customers!$C$1:$C$1001,,0))</f>
        <v>kcantor4@gmpg.org</v>
      </c>
      <c r="H978" s="2" t="str">
        <f>_xlfn.XLOOKUP(C978,customers!$A$1:$A$1001,customers!$G$1:$G$1001,,0)</f>
        <v>United States</v>
      </c>
      <c r="I978" t="str">
        <f>INDEX(products!$A$1:$G$49, MATCH(orders!$D978,products!$A$1:$A$49,0), MATCH(I$1,products!$A$1:$G$1,0))</f>
        <v>Rob</v>
      </c>
      <c r="J978" t="str">
        <f>INDEX(products!$A$1:$G$49, MATCH(orders!$D978,products!$A$1:$A$49,0), MATCH(J$1,products!$A$1:$G$1,0))</f>
        <v>L</v>
      </c>
      <c r="K978" s="4">
        <f>INDEX(products!$A$1:$G$49, MATCH(orders!$D978,products!$A$1:$A$49,0), MATCH(K$1,products!$A$1:$G$1,0))</f>
        <v>2.5</v>
      </c>
      <c r="L978" s="5">
        <f>INDEX(products!$A$1:$G$49, MATCH(orders!$D978,products!$A$1:$A$49,0), MATCH(L$1,products!$A$1:$G$1,0))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 = 0, "", _xlfn.XLOOKUP(C979,customers!$A$1:$A$1001,customers!$C$1:$C$1001,,0))</f>
        <v>mblakemorer5@nsw.gov.au</v>
      </c>
      <c r="H979" s="2" t="str">
        <f>_xlfn.XLOOKUP(C979,customers!$A$1:$A$1001,customers!$G$1:$G$1001,,0)</f>
        <v>United States</v>
      </c>
      <c r="I979" t="str">
        <f>INDEX(products!$A$1:$G$49, MATCH(orders!$D979,products!$A$1:$A$49,0), MATCH(I$1,products!$A$1:$G$1,0))</f>
        <v>Rob</v>
      </c>
      <c r="J979" t="str">
        <f>INDEX(products!$A$1:$G$49, MATCH(orders!$D979,products!$A$1:$A$49,0), MATCH(J$1,products!$A$1:$G$1,0))</f>
        <v>L</v>
      </c>
      <c r="K979" s="4">
        <f>INDEX(products!$A$1:$G$49, MATCH(orders!$D979,products!$A$1:$A$49,0), MATCH(K$1,products!$A$1:$G$1,0))</f>
        <v>1</v>
      </c>
      <c r="L979" s="5">
        <f>INDEX(products!$A$1:$G$49, MATCH(orders!$D979,products!$A$1:$A$49,0), MATCH(L$1,products!$A$1:$G$1,0))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 = 0, "", _xlfn.XLOOKUP(C980,customers!$A$1:$A$1001,customers!$C$1:$C$1001,,0))</f>
        <v>ckeaver1@ucoz.com</v>
      </c>
      <c r="H980" s="2" t="str">
        <f>_xlfn.XLOOKUP(C980,customers!$A$1:$A$1001,customers!$G$1:$G$1001,,0)</f>
        <v>United States</v>
      </c>
      <c r="I980" t="str">
        <f>INDEX(products!$A$1:$G$49, MATCH(orders!$D980,products!$A$1:$A$49,0), MATCH(I$1,products!$A$1:$G$1,0))</f>
        <v>Ara</v>
      </c>
      <c r="J980" t="str">
        <f>INDEX(products!$A$1:$G$49, MATCH(orders!$D980,products!$A$1:$A$49,0), MATCH(J$1,products!$A$1:$G$1,0))</f>
        <v>L</v>
      </c>
      <c r="K980" s="4">
        <f>INDEX(products!$A$1:$G$49, MATCH(orders!$D980,products!$A$1:$A$49,0), MATCH(K$1,products!$A$1:$G$1,0))</f>
        <v>0.5</v>
      </c>
      <c r="L980" s="5">
        <f>INDEX(products!$A$1:$G$49, MATCH(orders!$D980,products!$A$1:$A$49,0), MATCH(L$1,products!$A$1:$G$1,0))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 = 0, "", _xlfn.XLOOKUP(C981,customers!$A$1:$A$1001,customers!$C$1:$C$1001,,0))</f>
        <v/>
      </c>
      <c r="H981" s="2" t="str">
        <f>_xlfn.XLOOKUP(C981,customers!$A$1:$A$1001,customers!$G$1:$G$1001,,0)</f>
        <v>United States</v>
      </c>
      <c r="I981" t="str">
        <f>INDEX(products!$A$1:$G$49, MATCH(orders!$D981,products!$A$1:$A$49,0), MATCH(I$1,products!$A$1:$G$1,0))</f>
        <v>Rob</v>
      </c>
      <c r="J981" t="str">
        <f>INDEX(products!$A$1:$G$49, MATCH(orders!$D981,products!$A$1:$A$49,0), MATCH(J$1,products!$A$1:$G$1,0))</f>
        <v>D</v>
      </c>
      <c r="K981" s="4">
        <f>INDEX(products!$A$1:$G$49, MATCH(orders!$D981,products!$A$1:$A$49,0), MATCH(K$1,products!$A$1:$G$1,0))</f>
        <v>0.5</v>
      </c>
      <c r="L981" s="5">
        <f>INDEX(products!$A$1:$G$49, MATCH(orders!$D981,products!$A$1:$A$49,0), MATCH(L$1,products!$A$1:$G$1,0))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 = 0, "", _xlfn.XLOOKUP(C982,customers!$A$1:$A$1001,customers!$C$1:$C$1001,,0))</f>
        <v/>
      </c>
      <c r="H982" s="2" t="str">
        <f>_xlfn.XLOOKUP(C982,customers!$A$1:$A$1001,customers!$G$1:$G$1001,,0)</f>
        <v>United States</v>
      </c>
      <c r="I982" t="str">
        <f>INDEX(products!$A$1:$G$49, MATCH(orders!$D982,products!$A$1:$A$49,0), MATCH(I$1,products!$A$1:$G$1,0))</f>
        <v>Exc</v>
      </c>
      <c r="J982" t="str">
        <f>INDEX(products!$A$1:$G$49, MATCH(orders!$D982,products!$A$1:$A$49,0), MATCH(J$1,products!$A$1:$G$1,0))</f>
        <v>D</v>
      </c>
      <c r="K982" s="4">
        <f>INDEX(products!$A$1:$G$49, MATCH(orders!$D982,products!$A$1:$A$49,0), MATCH(K$1,products!$A$1:$G$1,0))</f>
        <v>2.5</v>
      </c>
      <c r="L982" s="5">
        <f>INDEX(products!$A$1:$G$49, MATCH(orders!$D982,products!$A$1:$A$49,0), MATCH(L$1,products!$A$1:$G$1,0))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 = 0, "", _xlfn.XLOOKUP(C983,customers!$A$1:$A$1001,customers!$C$1:$C$1001,,0))</f>
        <v>cbernardotr9@wix.com</v>
      </c>
      <c r="H983" s="2" t="str">
        <f>_xlfn.XLOOKUP(C983,customers!$A$1:$A$1001,customers!$G$1:$G$1001,,0)</f>
        <v>United States</v>
      </c>
      <c r="I983" t="str">
        <f>INDEX(products!$A$1:$G$49, MATCH(orders!$D983,products!$A$1:$A$49,0), MATCH(I$1,products!$A$1:$G$1,0))</f>
        <v>Exc</v>
      </c>
      <c r="J983" t="str">
        <f>INDEX(products!$A$1:$G$49, MATCH(orders!$D983,products!$A$1:$A$49,0), MATCH(J$1,products!$A$1:$G$1,0))</f>
        <v>D</v>
      </c>
      <c r="K983" s="4">
        <f>INDEX(products!$A$1:$G$49, MATCH(orders!$D983,products!$A$1:$A$49,0), MATCH(K$1,products!$A$1:$G$1,0))</f>
        <v>0.2</v>
      </c>
      <c r="L983" s="5">
        <f>INDEX(products!$A$1:$G$49, MATCH(orders!$D983,products!$A$1:$A$49,0), MATCH(L$1,products!$A$1:$G$1,0))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 = 0, "", _xlfn.XLOOKUP(C984,customers!$A$1:$A$1001,customers!$C$1:$C$1001,,0))</f>
        <v>kkemeryra@t.co</v>
      </c>
      <c r="H984" s="2" t="str">
        <f>_xlfn.XLOOKUP(C984,customers!$A$1:$A$1001,customers!$G$1:$G$1001,,0)</f>
        <v>United States</v>
      </c>
      <c r="I984" t="str">
        <f>INDEX(products!$A$1:$G$49, MATCH(orders!$D984,products!$A$1:$A$49,0), MATCH(I$1,products!$A$1:$G$1,0))</f>
        <v>Rob</v>
      </c>
      <c r="J984" t="str">
        <f>INDEX(products!$A$1:$G$49, MATCH(orders!$D984,products!$A$1:$A$49,0), MATCH(J$1,products!$A$1:$G$1,0))</f>
        <v>L</v>
      </c>
      <c r="K984" s="4">
        <f>INDEX(products!$A$1:$G$49, MATCH(orders!$D984,products!$A$1:$A$49,0), MATCH(K$1,products!$A$1:$G$1,0))</f>
        <v>1</v>
      </c>
      <c r="L984" s="5">
        <f>INDEX(products!$A$1:$G$49, MATCH(orders!$D984,products!$A$1:$A$49,0), MATCH(L$1,products!$A$1:$G$1,0))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 = 0, "", _xlfn.XLOOKUP(C985,customers!$A$1:$A$1001,customers!$C$1:$C$1001,,0))</f>
        <v>fparlotrb@forbes.com</v>
      </c>
      <c r="H985" s="2" t="str">
        <f>_xlfn.XLOOKUP(C985,customers!$A$1:$A$1001,customers!$G$1:$G$1001,,0)</f>
        <v>United States</v>
      </c>
      <c r="I985" t="str">
        <f>INDEX(products!$A$1:$G$49, MATCH(orders!$D985,products!$A$1:$A$49,0), MATCH(I$1,products!$A$1:$G$1,0))</f>
        <v>Ara</v>
      </c>
      <c r="J985" t="str">
        <f>INDEX(products!$A$1:$G$49, MATCH(orders!$D985,products!$A$1:$A$49,0), MATCH(J$1,products!$A$1:$G$1,0))</f>
        <v>M</v>
      </c>
      <c r="K985" s="4">
        <f>INDEX(products!$A$1:$G$49, MATCH(orders!$D985,products!$A$1:$A$49,0), MATCH(K$1,products!$A$1:$G$1,0))</f>
        <v>0.2</v>
      </c>
      <c r="L985" s="5">
        <f>INDEX(products!$A$1:$G$49, MATCH(orders!$D985,products!$A$1:$A$49,0), MATCH(L$1,products!$A$1:$G$1,0))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 = 0, "", _xlfn.XLOOKUP(C986,customers!$A$1:$A$1001,customers!$C$1:$C$1001,,0))</f>
        <v>rcheakrc@tripadvisor.com</v>
      </c>
      <c r="H986" s="2" t="str">
        <f>_xlfn.XLOOKUP(C986,customers!$A$1:$A$1001,customers!$G$1:$G$1001,,0)</f>
        <v>Ireland</v>
      </c>
      <c r="I986" t="str">
        <f>INDEX(products!$A$1:$G$49, MATCH(orders!$D986,products!$A$1:$A$49,0), MATCH(I$1,products!$A$1:$G$1,0))</f>
        <v>Exc</v>
      </c>
      <c r="J986" t="str">
        <f>INDEX(products!$A$1:$G$49, MATCH(orders!$D986,products!$A$1:$A$49,0), MATCH(J$1,products!$A$1:$G$1,0))</f>
        <v>M</v>
      </c>
      <c r="K986" s="4">
        <f>INDEX(products!$A$1:$G$49, MATCH(orders!$D986,products!$A$1:$A$49,0), MATCH(K$1,products!$A$1:$G$1,0))</f>
        <v>2.5</v>
      </c>
      <c r="L986" s="5">
        <f>INDEX(products!$A$1:$G$49, MATCH(orders!$D986,products!$A$1:$A$49,0), MATCH(L$1,products!$A$1:$G$1,0))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 = 0, "", _xlfn.XLOOKUP(C987,customers!$A$1:$A$1001,customers!$C$1:$C$1001,,0))</f>
        <v>kogeneayrd@utexas.edu</v>
      </c>
      <c r="H987" s="2" t="str">
        <f>_xlfn.XLOOKUP(C987,customers!$A$1:$A$1001,customers!$G$1:$G$1001,,0)</f>
        <v>United States</v>
      </c>
      <c r="I987" t="str">
        <f>INDEX(products!$A$1:$G$49, MATCH(orders!$D987,products!$A$1:$A$49,0), MATCH(I$1,products!$A$1:$G$1,0))</f>
        <v>Rob</v>
      </c>
      <c r="J987" t="str">
        <f>INDEX(products!$A$1:$G$49, MATCH(orders!$D987,products!$A$1:$A$49,0), MATCH(J$1,products!$A$1:$G$1,0))</f>
        <v>L</v>
      </c>
      <c r="K987" s="4">
        <f>INDEX(products!$A$1:$G$49, MATCH(orders!$D987,products!$A$1:$A$49,0), MATCH(K$1,products!$A$1:$G$1,0))</f>
        <v>1</v>
      </c>
      <c r="L987" s="5">
        <f>INDEX(products!$A$1:$G$49, MATCH(orders!$D987,products!$A$1:$A$49,0), MATCH(L$1,products!$A$1:$G$1,0))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 = 0, "", _xlfn.XLOOKUP(C988,customers!$A$1:$A$1001,customers!$C$1:$C$1001,,0))</f>
        <v>cayrere@symantec.com</v>
      </c>
      <c r="H988" s="2" t="str">
        <f>_xlfn.XLOOKUP(C988,customers!$A$1:$A$1001,customers!$G$1:$G$1001,,0)</f>
        <v>United States</v>
      </c>
      <c r="I988" t="str">
        <f>INDEX(products!$A$1:$G$49, MATCH(orders!$D988,products!$A$1:$A$49,0), MATCH(I$1,products!$A$1:$G$1,0))</f>
        <v>Lib</v>
      </c>
      <c r="J988" t="str">
        <f>INDEX(products!$A$1:$G$49, MATCH(orders!$D988,products!$A$1:$A$49,0), MATCH(J$1,products!$A$1:$G$1,0))</f>
        <v>M</v>
      </c>
      <c r="K988" s="4">
        <f>INDEX(products!$A$1:$G$49, MATCH(orders!$D988,products!$A$1:$A$49,0), MATCH(K$1,products!$A$1:$G$1,0))</f>
        <v>2.5</v>
      </c>
      <c r="L988" s="5">
        <f>INDEX(products!$A$1:$G$49, MATCH(orders!$D988,products!$A$1:$A$49,0), MATCH(L$1,products!$A$1:$G$1,0))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 = 0, "", _xlfn.XLOOKUP(C989,customers!$A$1:$A$1001,customers!$C$1:$C$1001,,0))</f>
        <v>lkynetonrf@macromedia.com</v>
      </c>
      <c r="H989" s="2" t="str">
        <f>_xlfn.XLOOKUP(C989,customers!$A$1:$A$1001,customers!$G$1:$G$1001,,0)</f>
        <v>United Kingdom</v>
      </c>
      <c r="I989" t="str">
        <f>INDEX(products!$A$1:$G$49, MATCH(orders!$D989,products!$A$1:$A$49,0), MATCH(I$1,products!$A$1:$G$1,0))</f>
        <v>Ara</v>
      </c>
      <c r="J989" t="str">
        <f>INDEX(products!$A$1:$G$49, MATCH(orders!$D989,products!$A$1:$A$49,0), MATCH(J$1,products!$A$1:$G$1,0))</f>
        <v>D</v>
      </c>
      <c r="K989" s="4">
        <f>INDEX(products!$A$1:$G$49, MATCH(orders!$D989,products!$A$1:$A$49,0), MATCH(K$1,products!$A$1:$G$1,0))</f>
        <v>0.5</v>
      </c>
      <c r="L989" s="5">
        <f>INDEX(products!$A$1:$G$49, MATCH(orders!$D989,products!$A$1:$A$49,0), MATCH(L$1,products!$A$1:$G$1,0))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 = 0, "", _xlfn.XLOOKUP(C990,customers!$A$1:$A$1001,customers!$C$1:$C$1001,,0))</f>
        <v/>
      </c>
      <c r="H990" s="2" t="str">
        <f>_xlfn.XLOOKUP(C990,customers!$A$1:$A$1001,customers!$G$1:$G$1001,,0)</f>
        <v>United Kingdom</v>
      </c>
      <c r="I990" t="str">
        <f>INDEX(products!$A$1:$G$49, MATCH(orders!$D990,products!$A$1:$A$49,0), MATCH(I$1,products!$A$1:$G$1,0))</f>
        <v>Rob</v>
      </c>
      <c r="J990" t="str">
        <f>INDEX(products!$A$1:$G$49, MATCH(orders!$D990,products!$A$1:$A$49,0), MATCH(J$1,products!$A$1:$G$1,0))</f>
        <v>M</v>
      </c>
      <c r="K990" s="4">
        <f>INDEX(products!$A$1:$G$49, MATCH(orders!$D990,products!$A$1:$A$49,0), MATCH(K$1,products!$A$1:$G$1,0))</f>
        <v>1</v>
      </c>
      <c r="L990" s="5">
        <f>INDEX(products!$A$1:$G$49, MATCH(orders!$D990,products!$A$1:$A$49,0), MATCH(L$1,products!$A$1:$G$1,0))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 = 0, "", _xlfn.XLOOKUP(C991,customers!$A$1:$A$1001,customers!$C$1:$C$1001,,0))</f>
        <v/>
      </c>
      <c r="H991" s="2" t="str">
        <f>_xlfn.XLOOKUP(C991,customers!$A$1:$A$1001,customers!$G$1:$G$1001,,0)</f>
        <v>United States</v>
      </c>
      <c r="I991" t="str">
        <f>INDEX(products!$A$1:$G$49, MATCH(orders!$D991,products!$A$1:$A$49,0), MATCH(I$1,products!$A$1:$G$1,0))</f>
        <v>Ara</v>
      </c>
      <c r="J991" t="str">
        <f>INDEX(products!$A$1:$G$49, MATCH(orders!$D991,products!$A$1:$A$49,0), MATCH(J$1,products!$A$1:$G$1,0))</f>
        <v>M</v>
      </c>
      <c r="K991" s="4">
        <f>INDEX(products!$A$1:$G$49, MATCH(orders!$D991,products!$A$1:$A$49,0), MATCH(K$1,products!$A$1:$G$1,0))</f>
        <v>2.5</v>
      </c>
      <c r="L991" s="5">
        <f>INDEX(products!$A$1:$G$49, MATCH(orders!$D991,products!$A$1:$A$49,0), MATCH(L$1,products!$A$1:$G$1,0))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 = 0, "", _xlfn.XLOOKUP(C992,customers!$A$1:$A$1001,customers!$C$1:$C$1001,,0))</f>
        <v/>
      </c>
      <c r="H992" s="2" t="str">
        <f>_xlfn.XLOOKUP(C992,customers!$A$1:$A$1001,customers!$G$1:$G$1001,,0)</f>
        <v>United States</v>
      </c>
      <c r="I992" t="str">
        <f>INDEX(products!$A$1:$G$49, MATCH(orders!$D992,products!$A$1:$A$49,0), MATCH(I$1,products!$A$1:$G$1,0))</f>
        <v>Exc</v>
      </c>
      <c r="J992" t="str">
        <f>INDEX(products!$A$1:$G$49, MATCH(orders!$D992,products!$A$1:$A$49,0), MATCH(J$1,products!$A$1:$G$1,0))</f>
        <v>D</v>
      </c>
      <c r="K992" s="4">
        <f>INDEX(products!$A$1:$G$49, MATCH(orders!$D992,products!$A$1:$A$49,0), MATCH(K$1,products!$A$1:$G$1,0))</f>
        <v>0.2</v>
      </c>
      <c r="L992" s="5">
        <f>INDEX(products!$A$1:$G$49, MATCH(orders!$D992,products!$A$1:$A$49,0), MATCH(L$1,products!$A$1:$G$1,0))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 = 0, "", _xlfn.XLOOKUP(C993,customers!$A$1:$A$1001,customers!$C$1:$C$1001,,0))</f>
        <v/>
      </c>
      <c r="H993" s="2" t="str">
        <f>_xlfn.XLOOKUP(C993,customers!$A$1:$A$1001,customers!$G$1:$G$1001,,0)</f>
        <v>United States</v>
      </c>
      <c r="I993" t="str">
        <f>INDEX(products!$A$1:$G$49, MATCH(orders!$D993,products!$A$1:$A$49,0), MATCH(I$1,products!$A$1:$G$1,0))</f>
        <v>Lib</v>
      </c>
      <c r="J993" t="str">
        <f>INDEX(products!$A$1:$G$49, MATCH(orders!$D993,products!$A$1:$A$49,0), MATCH(J$1,products!$A$1:$G$1,0))</f>
        <v>D</v>
      </c>
      <c r="K993" s="4">
        <f>INDEX(products!$A$1:$G$49, MATCH(orders!$D993,products!$A$1:$A$49,0), MATCH(K$1,products!$A$1:$G$1,0))</f>
        <v>0.5</v>
      </c>
      <c r="L993" s="5">
        <f>INDEX(products!$A$1:$G$49, MATCH(orders!$D993,products!$A$1:$A$49,0), MATCH(L$1,products!$A$1:$G$1,0))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 = 0, "", _xlfn.XLOOKUP(C994,customers!$A$1:$A$1001,customers!$C$1:$C$1001,,0))</f>
        <v/>
      </c>
      <c r="H994" s="2" t="str">
        <f>_xlfn.XLOOKUP(C994,customers!$A$1:$A$1001,customers!$G$1:$G$1001,,0)</f>
        <v>Ireland</v>
      </c>
      <c r="I994" t="str">
        <f>INDEX(products!$A$1:$G$49, MATCH(orders!$D994,products!$A$1:$A$49,0), MATCH(I$1,products!$A$1:$G$1,0))</f>
        <v>Lib</v>
      </c>
      <c r="J994" t="str">
        <f>INDEX(products!$A$1:$G$49, MATCH(orders!$D994,products!$A$1:$A$49,0), MATCH(J$1,products!$A$1:$G$1,0))</f>
        <v>L</v>
      </c>
      <c r="K994" s="4">
        <f>INDEX(products!$A$1:$G$49, MATCH(orders!$D994,products!$A$1:$A$49,0), MATCH(K$1,products!$A$1:$G$1,0))</f>
        <v>2.5</v>
      </c>
      <c r="L994" s="5">
        <f>INDEX(products!$A$1:$G$49, MATCH(orders!$D994,products!$A$1:$A$49,0), MATCH(L$1,products!$A$1:$G$1,0))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 = 0, "", _xlfn.XLOOKUP(C995,customers!$A$1:$A$1001,customers!$C$1:$C$1001,,0))</f>
        <v/>
      </c>
      <c r="H995" s="2" t="str">
        <f>_xlfn.XLOOKUP(C995,customers!$A$1:$A$1001,customers!$G$1:$G$1001,,0)</f>
        <v>United States</v>
      </c>
      <c r="I995" t="str">
        <f>INDEX(products!$A$1:$G$49, MATCH(orders!$D995,products!$A$1:$A$49,0), MATCH(I$1,products!$A$1:$G$1,0))</f>
        <v>Ara</v>
      </c>
      <c r="J995" t="str">
        <f>INDEX(products!$A$1:$G$49, MATCH(orders!$D995,products!$A$1:$A$49,0), MATCH(J$1,products!$A$1:$G$1,0))</f>
        <v>L</v>
      </c>
      <c r="K995" s="4">
        <f>INDEX(products!$A$1:$G$49, MATCH(orders!$D995,products!$A$1:$A$49,0), MATCH(K$1,products!$A$1:$G$1,0))</f>
        <v>1</v>
      </c>
      <c r="L995" s="5">
        <f>INDEX(products!$A$1:$G$49, MATCH(orders!$D995,products!$A$1:$A$49,0), MATCH(L$1,products!$A$1:$G$1,0))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 = 0, "", _xlfn.XLOOKUP(C996,customers!$A$1:$A$1001,customers!$C$1:$C$1001,,0))</f>
        <v/>
      </c>
      <c r="H996" s="2" t="str">
        <f>_xlfn.XLOOKUP(C996,customers!$A$1:$A$1001,customers!$G$1:$G$1001,,0)</f>
        <v>Ireland</v>
      </c>
      <c r="I996" t="str">
        <f>INDEX(products!$A$1:$G$49, MATCH(orders!$D996,products!$A$1:$A$49,0), MATCH(I$1,products!$A$1:$G$1,0))</f>
        <v>Ara</v>
      </c>
      <c r="J996" t="str">
        <f>INDEX(products!$A$1:$G$49, MATCH(orders!$D996,products!$A$1:$A$49,0), MATCH(J$1,products!$A$1:$G$1,0))</f>
        <v>D</v>
      </c>
      <c r="K996" s="4">
        <f>INDEX(products!$A$1:$G$49, MATCH(orders!$D996,products!$A$1:$A$49,0), MATCH(K$1,products!$A$1:$G$1,0))</f>
        <v>0.2</v>
      </c>
      <c r="L996" s="5">
        <f>INDEX(products!$A$1:$G$49, MATCH(orders!$D996,products!$A$1:$A$49,0), MATCH(L$1,products!$A$1:$G$1,0))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 = 0, "", _xlfn.XLOOKUP(C997,customers!$A$1:$A$1001,customers!$C$1:$C$1001,,0))</f>
        <v>jtewelsonrn@samsung.com</v>
      </c>
      <c r="H997" s="2" t="str">
        <f>_xlfn.XLOOKUP(C997,customers!$A$1:$A$1001,customers!$G$1:$G$1001,,0)</f>
        <v>United States</v>
      </c>
      <c r="I997" t="str">
        <f>INDEX(products!$A$1:$G$49, MATCH(orders!$D997,products!$A$1:$A$49,0), MATCH(I$1,products!$A$1:$G$1,0))</f>
        <v>Rob</v>
      </c>
      <c r="J997" t="str">
        <f>INDEX(products!$A$1:$G$49, MATCH(orders!$D997,products!$A$1:$A$49,0), MATCH(J$1,products!$A$1:$G$1,0))</f>
        <v>L</v>
      </c>
      <c r="K997" s="4">
        <f>INDEX(products!$A$1:$G$49, MATCH(orders!$D997,products!$A$1:$A$49,0), MATCH(K$1,products!$A$1:$G$1,0))</f>
        <v>2.5</v>
      </c>
      <c r="L997" s="5">
        <f>INDEX(products!$A$1:$G$49, MATCH(orders!$D997,products!$A$1:$A$49,0), MATCH(L$1,products!$A$1:$G$1,0))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 = 0, "", _xlfn.XLOOKUP(C998,customers!$A$1:$A$1001,customers!$C$1:$C$1001,,0))</f>
        <v/>
      </c>
      <c r="H998" s="2" t="str">
        <f>_xlfn.XLOOKUP(C998,customers!$A$1:$A$1001,customers!$G$1:$G$1001,,0)</f>
        <v>United States</v>
      </c>
      <c r="I998" t="str">
        <f>INDEX(products!$A$1:$G$49, MATCH(orders!$D998,products!$A$1:$A$49,0), MATCH(I$1,products!$A$1:$G$1,0))</f>
        <v>Rob</v>
      </c>
      <c r="J998" t="str">
        <f>INDEX(products!$A$1:$G$49, MATCH(orders!$D998,products!$A$1:$A$49,0), MATCH(J$1,products!$A$1:$G$1,0))</f>
        <v>M</v>
      </c>
      <c r="K998" s="4">
        <f>INDEX(products!$A$1:$G$49, MATCH(orders!$D998,products!$A$1:$A$49,0), MATCH(K$1,products!$A$1:$G$1,0))</f>
        <v>0.5</v>
      </c>
      <c r="L998" s="5">
        <f>INDEX(products!$A$1:$G$49, MATCH(orders!$D998,products!$A$1:$A$49,0), MATCH(L$1,products!$A$1:$G$1,0))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 = 0, "", _xlfn.XLOOKUP(C999,customers!$A$1:$A$1001,customers!$C$1:$C$1001,,0))</f>
        <v/>
      </c>
      <c r="H999" s="2" t="str">
        <f>_xlfn.XLOOKUP(C999,customers!$A$1:$A$1001,customers!$G$1:$G$1001,,0)</f>
        <v>United States</v>
      </c>
      <c r="I999" t="str">
        <f>INDEX(products!$A$1:$G$49, MATCH(orders!$D999,products!$A$1:$A$49,0), MATCH(I$1,products!$A$1:$G$1,0))</f>
        <v>Ara</v>
      </c>
      <c r="J999" t="str">
        <f>INDEX(products!$A$1:$G$49, MATCH(orders!$D999,products!$A$1:$A$49,0), MATCH(J$1,products!$A$1:$G$1,0))</f>
        <v>M</v>
      </c>
      <c r="K999" s="4">
        <f>INDEX(products!$A$1:$G$49, MATCH(orders!$D999,products!$A$1:$A$49,0), MATCH(K$1,products!$A$1:$G$1,0))</f>
        <v>0.5</v>
      </c>
      <c r="L999" s="5">
        <f>INDEX(products!$A$1:$G$49, MATCH(orders!$D999,products!$A$1:$A$49,0), MATCH(L$1,products!$A$1:$G$1,0))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 = 0, "", _xlfn.XLOOKUP(C1000,customers!$A$1:$A$1001,customers!$C$1:$C$1001,,0))</f>
        <v>njennyrq@bigcartel.com</v>
      </c>
      <c r="H1000" s="2" t="str">
        <f>_xlfn.XLOOKUP(C1000,customers!$A$1:$A$1001,customers!$G$1:$G$1001,,0)</f>
        <v>United States</v>
      </c>
      <c r="I1000" t="str">
        <f>INDEX(products!$A$1:$G$49, MATCH(orders!$D1000,products!$A$1:$A$49,0), MATCH(I$1,products!$A$1:$G$1,0))</f>
        <v>Ara</v>
      </c>
      <c r="J1000" t="str">
        <f>INDEX(products!$A$1:$G$49, MATCH(orders!$D1000,products!$A$1:$A$49,0), MATCH(J$1,products!$A$1:$G$1,0))</f>
        <v>D</v>
      </c>
      <c r="K1000" s="4">
        <f>INDEX(products!$A$1:$G$49, MATCH(orders!$D1000,products!$A$1:$A$49,0), MATCH(K$1,products!$A$1:$G$1,0))</f>
        <v>1</v>
      </c>
      <c r="L1000" s="5">
        <f>INDEX(products!$A$1:$G$49, MATCH(orders!$D1000,products!$A$1:$A$49,0), MATCH(L$1,products!$A$1:$G$1,0))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 = 0, "", _xlfn.XLOOKUP(C1001,customers!$A$1:$A$1001,customers!$C$1:$C$1001,,0))</f>
        <v/>
      </c>
      <c r="H1001" s="2" t="str">
        <f>_xlfn.XLOOKUP(C1001,customers!$A$1:$A$1001,customers!$G$1:$G$1001,,0)</f>
        <v>United Kingdom</v>
      </c>
      <c r="I1001" t="str">
        <f>INDEX(products!$A$1:$G$49, MATCH(orders!$D1001,products!$A$1:$A$49,0), MATCH(I$1,products!$A$1:$G$1,0))</f>
        <v>Exc</v>
      </c>
      <c r="J1001" t="str">
        <f>INDEX(products!$A$1:$G$49, MATCH(orders!$D1001,products!$A$1:$A$49,0), MATCH(J$1,products!$A$1:$G$1,0))</f>
        <v>M</v>
      </c>
      <c r="K1001" s="4">
        <f>INDEX(products!$A$1:$G$49, MATCH(orders!$D1001,products!$A$1:$A$49,0), MATCH(K$1,products!$A$1:$G$1,0))</f>
        <v>0.2</v>
      </c>
      <c r="L1001" s="5">
        <f>INDEX(products!$A$1:$G$49, MATCH(orders!$D1001,products!$A$1:$A$49,0), MATCH(L$1,products!$A$1:$G$1,0))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0" sqref="A20:G2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Top5Customers</vt:lpstr>
      <vt:lpstr>CountryBarChart</vt:lpstr>
      <vt:lpstr>Detail1</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Le Duc Anh 20215305</cp:lastModifiedBy>
  <cp:revision/>
  <dcterms:created xsi:type="dcterms:W3CDTF">2022-11-26T09:51:45Z</dcterms:created>
  <dcterms:modified xsi:type="dcterms:W3CDTF">2026-10-12T07:44:41Z</dcterms:modified>
  <cp:category/>
  <cp:contentStatus/>
</cp:coreProperties>
</file>